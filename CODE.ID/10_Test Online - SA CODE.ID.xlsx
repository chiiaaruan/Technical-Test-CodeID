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xetechid-my.sharepoint.com/personal/anastasia_christiany_idxpartners_com/Documents/"/>
    </mc:Choice>
  </mc:AlternateContent>
  <xr:revisionPtr revIDLastSave="0" documentId="8_{FABF3AB0-8360-47ED-8F35-00BF73706CF4}" xr6:coauthVersionLast="47" xr6:coauthVersionMax="47" xr10:uidLastSave="{00000000-0000-0000-0000-000000000000}"/>
  <bookViews>
    <workbookView xWindow="-108" yWindow="-108" windowWidth="23256" windowHeight="12456" activeTab="1" xr2:uid="{B0365E0F-70A9-4E38-996A-AF2E0AF6BA93}"/>
  </bookViews>
  <sheets>
    <sheet name="Sheet1" sheetId="1" r:id="rId1"/>
    <sheet name="ERD_Table" sheetId="2" r:id="rId2"/>
    <sheet name="Dummy - data_owner" sheetId="3" r:id="rId3"/>
    <sheet name="Dummy - data_kavling" sheetId="9" r:id="rId4"/>
    <sheet name="Dummy - data_iuran" sheetId="10" r:id="rId5"/>
    <sheet name="Dummy - data_pembayaran" sheetId="12" r:id="rId6"/>
    <sheet name="Dummy - detail_pembayaran" sheetId="13" r:id="rId7"/>
    <sheet name="Dummy - data_pengeluaran" sheetId="11" r:id="rId8"/>
    <sheet name="Summary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3" l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5" i="3"/>
  <c r="C4" i="3"/>
</calcChain>
</file>

<file path=xl/sharedStrings.xml><?xml version="1.0" encoding="utf-8"?>
<sst xmlns="http://schemas.openxmlformats.org/spreadsheetml/2006/main" count="629" uniqueCount="215">
  <si>
    <t>Type</t>
  </si>
  <si>
    <t>Source Table</t>
  </si>
  <si>
    <t>Source Field</t>
  </si>
  <si>
    <t>-</t>
  </si>
  <si>
    <t>Status</t>
  </si>
  <si>
    <t>data_kavling</t>
  </si>
  <si>
    <t>Tipe Pembayaran : Bisa pilih mau bayar iuran atau donasi</t>
  </si>
  <si>
    <t>Nama Pemilik : nama dari pemilik</t>
  </si>
  <si>
    <t>Kavling : informasi blok, no, dan status kavling (dihuni, tidak dihuni, kosong) dan bisa pilih lebih dari satu</t>
  </si>
  <si>
    <t>Tipe Iuran : Kebersihan / Keamanan dan bisa pilih lebih dari satu, tapi kalo pada Tipe Pembayaran pilih Donas, field ini tidak akan tampil</t>
  </si>
  <si>
    <t>Total Pembayaran : total dari iuran yang ingin dibayarkan, field nya editable agar ketika Tipe Pembayaran dipilih Donasi, bisa isi nominal manual</t>
  </si>
  <si>
    <t>Button Save</t>
  </si>
  <si>
    <t>ERD</t>
  </si>
  <si>
    <t>do_id (PK)</t>
  </si>
  <si>
    <t>do_name</t>
  </si>
  <si>
    <t>do_phone_number</t>
  </si>
  <si>
    <t>varchar</t>
  </si>
  <si>
    <t>Parameter</t>
  </si>
  <si>
    <t>Name</t>
  </si>
  <si>
    <r>
      <t xml:space="preserve">Table : </t>
    </r>
    <r>
      <rPr>
        <b/>
        <sz val="11"/>
        <color theme="1"/>
        <rFont val="Aptos Narrow"/>
        <family val="2"/>
        <scheme val="minor"/>
      </rPr>
      <t>data_owner</t>
    </r>
  </si>
  <si>
    <t>dk_id (PK)</t>
  </si>
  <si>
    <t>dk_do_id (FK)</t>
  </si>
  <si>
    <t>dk_block</t>
  </si>
  <si>
    <t>dk_number</t>
  </si>
  <si>
    <t>dk_land_area</t>
  </si>
  <si>
    <t>dk_status</t>
  </si>
  <si>
    <t>Owner ID</t>
  </si>
  <si>
    <t>Owner Name</t>
  </si>
  <si>
    <t>Owner Phone Number</t>
  </si>
  <si>
    <r>
      <t xml:space="preserve">Table : </t>
    </r>
    <r>
      <rPr>
        <b/>
        <sz val="11"/>
        <color theme="1"/>
        <rFont val="Aptos Narrow"/>
        <family val="2"/>
        <scheme val="minor"/>
      </rPr>
      <t>data_kavling</t>
    </r>
  </si>
  <si>
    <t>Kavling ID</t>
  </si>
  <si>
    <t>Block</t>
  </si>
  <si>
    <t>Number</t>
  </si>
  <si>
    <t>Land Area</t>
  </si>
  <si>
    <t>int</t>
  </si>
  <si>
    <r>
      <t xml:space="preserve">Table : </t>
    </r>
    <r>
      <rPr>
        <b/>
        <sz val="11"/>
        <color theme="1"/>
        <rFont val="Aptos Narrow"/>
        <family val="2"/>
        <scheme val="minor"/>
      </rPr>
      <t>data_pembayaran</t>
    </r>
  </si>
  <si>
    <t>dp_id (PK)</t>
  </si>
  <si>
    <t>dp_do_id (FK)</t>
  </si>
  <si>
    <t>dp_pay_type</t>
  </si>
  <si>
    <t>dp_pay_date</t>
  </si>
  <si>
    <t>dp_pay_total</t>
  </si>
  <si>
    <t>dp_desc</t>
  </si>
  <si>
    <t>int (auto-increment)</t>
  </si>
  <si>
    <t>Payment ID</t>
  </si>
  <si>
    <t>Payment Type</t>
  </si>
  <si>
    <t>Payment Date</t>
  </si>
  <si>
    <t>Payment Total</t>
  </si>
  <si>
    <t>Description</t>
  </si>
  <si>
    <r>
      <t xml:space="preserve">Table : </t>
    </r>
    <r>
      <rPr>
        <b/>
        <sz val="11"/>
        <color theme="1"/>
        <rFont val="Aptos Narrow"/>
        <family val="2"/>
        <scheme val="minor"/>
      </rPr>
      <t>detail_pembayaran</t>
    </r>
  </si>
  <si>
    <t>dep_id (PK)</t>
  </si>
  <si>
    <t>dep_dp_id (FK)</t>
  </si>
  <si>
    <t>dep_dk_id (FK)</t>
  </si>
  <si>
    <t>dep_period_month</t>
  </si>
  <si>
    <t>dep_period_year</t>
  </si>
  <si>
    <t>dep_fee_type</t>
  </si>
  <si>
    <t>dep_amount</t>
  </si>
  <si>
    <t>Detail Payment ID</t>
  </si>
  <si>
    <t>Month</t>
  </si>
  <si>
    <t>Year</t>
  </si>
  <si>
    <t>Fee Type</t>
  </si>
  <si>
    <t>Amount</t>
  </si>
  <si>
    <t>numeric</t>
  </si>
  <si>
    <t>di_id (PK)</t>
  </si>
  <si>
    <t>di_kav_status</t>
  </si>
  <si>
    <r>
      <t xml:space="preserve">Table : </t>
    </r>
    <r>
      <rPr>
        <b/>
        <sz val="11"/>
        <color theme="1"/>
        <rFont val="Aptos Narrow"/>
        <family val="2"/>
        <scheme val="minor"/>
      </rPr>
      <t>data_iuran</t>
    </r>
  </si>
  <si>
    <t>Iuran ID</t>
  </si>
  <si>
    <t>di_cntb_type</t>
  </si>
  <si>
    <t>di_cntb_rate</t>
  </si>
  <si>
    <t>Kvaling Status</t>
  </si>
  <si>
    <t>Contribution Type</t>
  </si>
  <si>
    <t>Contribution Fee</t>
  </si>
  <si>
    <r>
      <t xml:space="preserve">Table : </t>
    </r>
    <r>
      <rPr>
        <b/>
        <sz val="11"/>
        <color theme="1"/>
        <rFont val="Aptos Narrow"/>
        <family val="2"/>
        <scheme val="minor"/>
      </rPr>
      <t>data_pengeluaran</t>
    </r>
  </si>
  <si>
    <t>dpe_id</t>
  </si>
  <si>
    <t>dpe_exp_type</t>
  </si>
  <si>
    <t>dpe_exp_date</t>
  </si>
  <si>
    <t>dpe_exp_total</t>
  </si>
  <si>
    <t>dpe_exp_desc</t>
  </si>
  <si>
    <t>Expense ID</t>
  </si>
  <si>
    <t>Expense Type</t>
  </si>
  <si>
    <t>Expense Date</t>
  </si>
  <si>
    <t>Expense Total</t>
  </si>
  <si>
    <t>Table</t>
  </si>
  <si>
    <t>Budi Santoso</t>
  </si>
  <si>
    <t>Andi Pratama</t>
  </si>
  <si>
    <t>Siti Rahmawati</t>
  </si>
  <si>
    <t>Dwi Kurniawan</t>
  </si>
  <si>
    <t>Rina Oktaviani</t>
  </si>
  <si>
    <t>Agus Setiawan</t>
  </si>
  <si>
    <t>Maya Putri</t>
  </si>
  <si>
    <t>Rizky Saputra</t>
  </si>
  <si>
    <t>Dewi Lestari</t>
  </si>
  <si>
    <t>Fajar Nugroho</t>
  </si>
  <si>
    <t>Indah Permata</t>
  </si>
  <si>
    <t>Arif Hidayat</t>
  </si>
  <si>
    <t>Lina Marlina</t>
  </si>
  <si>
    <t>Yusuf Maulana</t>
  </si>
  <si>
    <t>Fitri Handayani</t>
  </si>
  <si>
    <t>Rudi Hartono</t>
  </si>
  <si>
    <t>Nisa Amelia</t>
  </si>
  <si>
    <t>Hendra Wijaya</t>
  </si>
  <si>
    <t>Putri Ayuningtyas</t>
  </si>
  <si>
    <t>Eko Susanto</t>
  </si>
  <si>
    <t>Dian Puspita</t>
  </si>
  <si>
    <t>Wahyu Saputro</t>
  </si>
  <si>
    <t>Lilis Suryani</t>
  </si>
  <si>
    <t>Ahmad Fauzi</t>
  </si>
  <si>
    <t>Tika Maharani</t>
  </si>
  <si>
    <t>Bagus Ramadhan</t>
  </si>
  <si>
    <t>Sri Wahyuni</t>
  </si>
  <si>
    <t>Galih Prakoso</t>
  </si>
  <si>
    <t>Novi Anggraini</t>
  </si>
  <si>
    <t>Reza Firmansyah</t>
  </si>
  <si>
    <t>data_owner</t>
  </si>
  <si>
    <t>data_iuran</t>
  </si>
  <si>
    <t>data_pengeluaran</t>
  </si>
  <si>
    <t>data_pembayaran</t>
  </si>
  <si>
    <t>detail_pembayaran</t>
  </si>
  <si>
    <t>A</t>
  </si>
  <si>
    <t>Dihuni</t>
  </si>
  <si>
    <t>Tidak Dihuni</t>
  </si>
  <si>
    <t>Kosong</t>
  </si>
  <si>
    <t>B</t>
  </si>
  <si>
    <t>C</t>
  </si>
  <si>
    <t>D</t>
  </si>
  <si>
    <t>E</t>
  </si>
  <si>
    <t>Kebersihan</t>
  </si>
  <si>
    <t>Keamanan</t>
  </si>
  <si>
    <t>Iuran</t>
  </si>
  <si>
    <t>Pembayaran iuran Januari</t>
  </si>
  <si>
    <t>Donasi</t>
  </si>
  <si>
    <t>Donasi acara RT</t>
  </si>
  <si>
    <t>Pembayaran iuran Februari</t>
  </si>
  <si>
    <t>Donasi kegiatan warga</t>
  </si>
  <si>
    <t>Pembayaran iuran Maret</t>
  </si>
  <si>
    <t>Donasi sosial</t>
  </si>
  <si>
    <t>Pembayaran iuran April</t>
  </si>
  <si>
    <t>Donasi acara 17 Agustus</t>
  </si>
  <si>
    <t>Pembayaran iuran Mei</t>
  </si>
  <si>
    <t>Donasi pembangunan fasilitas</t>
  </si>
  <si>
    <t>Biaya kebersihan bulanan Januari</t>
  </si>
  <si>
    <t>Biaya keamanan bulanan Januari</t>
  </si>
  <si>
    <t>Sumbangan Duka</t>
  </si>
  <si>
    <t>Bantuan duka warga Blok B</t>
  </si>
  <si>
    <t>Sumbangan Sakit</t>
  </si>
  <si>
    <t>Bantuan warga yang sedang sakit</t>
  </si>
  <si>
    <t>Biaya kebersihan bulanan Februari</t>
  </si>
  <si>
    <t>Biaya keamanan bulanan Februari</t>
  </si>
  <si>
    <t>Biaya kebersihan bulanan Maret</t>
  </si>
  <si>
    <t>Biaya keamanan bulanan Maret</t>
  </si>
  <si>
    <t>Sumbangan Pernikahan</t>
  </si>
  <si>
    <t>Bantuan pernikahan anak warga</t>
  </si>
  <si>
    <t>Acara Keagamaan</t>
  </si>
  <si>
    <t>Dana kegiatan keagamaan RT</t>
  </si>
  <si>
    <t>Biaya kebersihan bulanan April</t>
  </si>
  <si>
    <t>Biaya keamanan bulanan April</t>
  </si>
  <si>
    <t>Biaya kebersihan bulanan Mei</t>
  </si>
  <si>
    <t>Biaya keamanan bulanan Mei</t>
  </si>
  <si>
    <t>Acara 17 Agustus</t>
  </si>
  <si>
    <t>Persiapan kegiatan HUT RI</t>
  </si>
  <si>
    <t>Bantuan duka warga Blok E</t>
  </si>
  <si>
    <t>Laporan Pemasukkan dan Pengeluaran Per Bulan secara Summary</t>
  </si>
  <si>
    <t>periode</t>
  </si>
  <si>
    <t>pemasukan</t>
  </si>
  <si>
    <t>pengeluaran</t>
  </si>
  <si>
    <t>2026-01</t>
  </si>
  <si>
    <t>2026-02</t>
  </si>
  <si>
    <t>2026-03</t>
  </si>
  <si>
    <t>2026-04</t>
  </si>
  <si>
    <t>2026-05</t>
  </si>
  <si>
    <t xml:space="preserve">Task 2.1. </t>
  </si>
  <si>
    <t>owner</t>
  </si>
  <si>
    <t>kavling</t>
  </si>
  <si>
    <t>nominal</t>
  </si>
  <si>
    <t>status_pembayaran</t>
  </si>
  <si>
    <t>A-1</t>
  </si>
  <si>
    <t>Sudah Bayar</t>
  </si>
  <si>
    <t>A-2</t>
  </si>
  <si>
    <t>Menunggak</t>
  </si>
  <si>
    <t>A-6</t>
  </si>
  <si>
    <t>B-6</t>
  </si>
  <si>
    <t>B-7</t>
  </si>
  <si>
    <t>Belum Ada Owner</t>
  </si>
  <si>
    <t>B-19</t>
  </si>
  <si>
    <t>total_pemasukan_normal</t>
  </si>
  <si>
    <t>total_pengeluaran_normal</t>
  </si>
  <si>
    <t>keterangan</t>
  </si>
  <si>
    <t>Dalam 1 Bulan</t>
  </si>
  <si>
    <t>Asumsi pengeluaran normal hanya berupa iuran kebersihan dan iuran keamanan saja</t>
  </si>
  <si>
    <t>status</t>
  </si>
  <si>
    <t>contribution_type</t>
  </si>
  <si>
    <t>Task 2.3</t>
  </si>
  <si>
    <t>Total pemasukan dan pengeluaran dalam 1 bulan dalam kondisi normal (semua warga membayar / tidak ada yang menunggak)</t>
  </si>
  <si>
    <t>Task 2.2</t>
  </si>
  <si>
    <t>Laporan Pemasukan dan Pengeluaran Per Bulan secara Detail</t>
  </si>
  <si>
    <t>dp_pay_date
dpe_exp_date</t>
  </si>
  <si>
    <t>data_pembayaran
data_pengeluaran</t>
  </si>
  <si>
    <t>Mapping Table :</t>
  </si>
  <si>
    <t>Destination Field</t>
  </si>
  <si>
    <t>Formula</t>
  </si>
  <si>
    <t>SUM(dp_pay_total) per periode bulan</t>
  </si>
  <si>
    <t>SUM(dpe_exp_total) per periode bulan</t>
  </si>
  <si>
    <t>dp_pay_date = dpe_exp_date</t>
  </si>
  <si>
    <t>dep_period_year
dep_period_month</t>
  </si>
  <si>
    <t>SELECT 
        EXTRACT(MONTH FROM periode)::INT AS bulan,
        EXTRACT(YEAR FROM periode)::INT AS tahun
    FROM generate_series(
        '2026-01-01'::DATE,
        '2026-05-01'::DATE,
        INTERVAL '1 month'
    ) AS periode</t>
  </si>
  <si>
    <t>dk_do_id = do_id</t>
  </si>
  <si>
    <t>dk_block
dk_number</t>
  </si>
  <si>
    <t>CONCAT(dk_block, '-',dk_number)</t>
  </si>
  <si>
    <t>dk_status = di_kav_status</t>
  </si>
  <si>
    <t>CASE 
WHEN o.do_name IS NULL THEN 'Belum Ada Owner'
WHEN dp.dep_id IS NOT NULL THEN 'Sudah Bayar'
ELSE 'Menunggak'
END AS status_pembayaran</t>
  </si>
  <si>
    <t>do_name
dep_id</t>
  </si>
  <si>
    <t>data_owner
detail_pembayaran</t>
  </si>
  <si>
    <t>Dalam 1 Bulan' as periode</t>
  </si>
  <si>
    <t xml:space="preserve"> SUM(di.di_cntb_rate * (dk.dk_land_area / 100) ) AS total_pemasukan_normal</t>
  </si>
  <si>
    <t>10000000 AS total_pengeluaran_normal</t>
  </si>
  <si>
    <t>Asumsi pengeluaran normal hanya berupa iuran kebersihan dan iuran keamanan saja' AS 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</si>
</sst>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1" fillId="0" borderId="2" xfId="0" applyFont="1" applyBorder="1"/>
    <xf numFmtId="0" fontId="1" fillId="0" borderId="11" xfId="0" applyFont="1" applyBorder="1"/>
    <xf numFmtId="0" fontId="0" fillId="0" borderId="12" xfId="0" applyBorder="1"/>
    <xf numFmtId="0" fontId="0" fillId="0" borderId="13" xfId="0" applyFill="1" applyBorder="1"/>
    <xf numFmtId="0" fontId="0" fillId="0" borderId="14" xfId="0" applyBorder="1"/>
    <xf numFmtId="0" fontId="0" fillId="0" borderId="13" xfId="0" applyBorder="1"/>
    <xf numFmtId="0" fontId="0" fillId="0" borderId="14" xfId="0" applyFill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Border="1"/>
    <xf numFmtId="0" fontId="1" fillId="0" borderId="0" xfId="0" applyFont="1" applyFill="1" applyBorder="1" applyAlignment="1"/>
    <xf numFmtId="0" fontId="0" fillId="0" borderId="0" xfId="0" quotePrefix="1"/>
    <xf numFmtId="0" fontId="1" fillId="0" borderId="0" xfId="0" applyFont="1" applyFill="1" applyBorder="1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170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1" xfId="0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6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 wrapText="1"/>
    </xf>
    <xf numFmtId="0" fontId="0" fillId="0" borderId="5" xfId="0" quotePrefix="1" applyBorder="1" applyAlignment="1">
      <alignment vertical="center" wrapText="1"/>
    </xf>
    <xf numFmtId="0" fontId="0" fillId="0" borderId="10" xfId="0" quotePrefix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5</xdr:row>
      <xdr:rowOff>68580</xdr:rowOff>
    </xdr:from>
    <xdr:to>
      <xdr:col>11</xdr:col>
      <xdr:colOff>600635</xdr:colOff>
      <xdr:row>31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4FB834-6259-6494-365A-2FAFB494A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" y="800100"/>
          <a:ext cx="6362700" cy="478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4DE5-4430-41D2-A5A2-C41145C068FD}">
  <dimension ref="B3:F8"/>
  <sheetViews>
    <sheetView workbookViewId="0">
      <selection activeCell="F16" sqref="F16"/>
    </sheetView>
  </sheetViews>
  <sheetFormatPr defaultRowHeight="14.4" x14ac:dyDescent="0.3"/>
  <cols>
    <col min="2" max="2" width="14.88671875" style="2" bestFit="1" customWidth="1"/>
    <col min="3" max="4" width="14.88671875" style="2" customWidth="1"/>
    <col min="5" max="5" width="11.33203125" style="2" bestFit="1" customWidth="1"/>
    <col min="6" max="6" width="58.21875" style="3" customWidth="1"/>
  </cols>
  <sheetData>
    <row r="3" spans="2:2" x14ac:dyDescent="0.3">
      <c r="B3" s="2" t="s">
        <v>6</v>
      </c>
    </row>
    <row r="4" spans="2:2" x14ac:dyDescent="0.3">
      <c r="B4" s="2" t="s">
        <v>7</v>
      </c>
    </row>
    <row r="5" spans="2:2" x14ac:dyDescent="0.3">
      <c r="B5" s="2" t="s">
        <v>8</v>
      </c>
    </row>
    <row r="6" spans="2:2" x14ac:dyDescent="0.3">
      <c r="B6" s="2" t="s">
        <v>9</v>
      </c>
    </row>
    <row r="7" spans="2:2" x14ac:dyDescent="0.3">
      <c r="B7" s="2" t="s">
        <v>10</v>
      </c>
    </row>
    <row r="8" spans="2:2" x14ac:dyDescent="0.3">
      <c r="B8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0EF8-041C-4A85-B593-ED90815C2C2A}">
  <dimension ref="B3:T34"/>
  <sheetViews>
    <sheetView showGridLines="0" tabSelected="1" zoomScale="85" zoomScaleNormal="85" workbookViewId="0">
      <selection activeCell="L34" sqref="L34"/>
    </sheetView>
  </sheetViews>
  <sheetFormatPr defaultRowHeight="14.4" x14ac:dyDescent="0.3"/>
  <cols>
    <col min="1" max="1" width="6" customWidth="1"/>
    <col min="2" max="2" width="4.44140625" bestFit="1" customWidth="1"/>
    <col min="13" max="13" width="13.5546875" customWidth="1"/>
    <col min="14" max="14" width="22.33203125" bestFit="1" customWidth="1"/>
    <col min="15" max="15" width="16.6640625" bestFit="1" customWidth="1"/>
    <col min="16" max="16" width="18.33203125" bestFit="1" customWidth="1"/>
    <col min="18" max="18" width="23.33203125" bestFit="1" customWidth="1"/>
    <col min="19" max="19" width="16.88671875" bestFit="1" customWidth="1"/>
    <col min="20" max="20" width="18.33203125" bestFit="1" customWidth="1"/>
    <col min="22" max="22" width="21.6640625" bestFit="1" customWidth="1"/>
    <col min="23" max="23" width="12.21875" bestFit="1" customWidth="1"/>
    <col min="24" max="24" width="17" bestFit="1" customWidth="1"/>
  </cols>
  <sheetData>
    <row r="3" spans="2:20" x14ac:dyDescent="0.3">
      <c r="B3" s="4" t="s">
        <v>12</v>
      </c>
      <c r="N3" s="4" t="s">
        <v>81</v>
      </c>
    </row>
    <row r="4" spans="2:20" x14ac:dyDescent="0.3">
      <c r="B4" s="4"/>
      <c r="N4" s="4"/>
    </row>
    <row r="5" spans="2:20" x14ac:dyDescent="0.3">
      <c r="N5" s="4"/>
    </row>
    <row r="6" spans="2:20" x14ac:dyDescent="0.3">
      <c r="N6" t="s">
        <v>19</v>
      </c>
      <c r="R6" t="s">
        <v>64</v>
      </c>
    </row>
    <row r="7" spans="2:20" ht="15" thickBot="1" x14ac:dyDescent="0.35"/>
    <row r="8" spans="2:20" ht="15" thickBot="1" x14ac:dyDescent="0.35">
      <c r="N8" s="9" t="s">
        <v>18</v>
      </c>
      <c r="O8" s="9" t="s">
        <v>17</v>
      </c>
      <c r="P8" s="9" t="s">
        <v>0</v>
      </c>
      <c r="R8" s="8" t="s">
        <v>18</v>
      </c>
      <c r="S8" s="8" t="s">
        <v>17</v>
      </c>
      <c r="T8" s="8" t="s">
        <v>0</v>
      </c>
    </row>
    <row r="9" spans="2:20" x14ac:dyDescent="0.3">
      <c r="N9" s="10" t="s">
        <v>26</v>
      </c>
      <c r="O9" s="10" t="s">
        <v>13</v>
      </c>
      <c r="P9" s="10" t="s">
        <v>42</v>
      </c>
      <c r="R9" s="10" t="s">
        <v>65</v>
      </c>
      <c r="S9" s="10" t="s">
        <v>62</v>
      </c>
      <c r="T9" s="10" t="s">
        <v>42</v>
      </c>
    </row>
    <row r="10" spans="2:20" x14ac:dyDescent="0.3">
      <c r="N10" s="11" t="s">
        <v>27</v>
      </c>
      <c r="O10" s="11" t="s">
        <v>14</v>
      </c>
      <c r="P10" s="11" t="s">
        <v>16</v>
      </c>
      <c r="R10" s="11" t="s">
        <v>68</v>
      </c>
      <c r="S10" s="13" t="s">
        <v>63</v>
      </c>
      <c r="T10" s="11" t="s">
        <v>16</v>
      </c>
    </row>
    <row r="11" spans="2:20" ht="15" thickBot="1" x14ac:dyDescent="0.35">
      <c r="N11" s="12" t="s">
        <v>28</v>
      </c>
      <c r="O11" s="12" t="s">
        <v>15</v>
      </c>
      <c r="P11" s="12" t="s">
        <v>16</v>
      </c>
      <c r="R11" s="13" t="s">
        <v>69</v>
      </c>
      <c r="S11" s="13" t="s">
        <v>66</v>
      </c>
      <c r="T11" s="13" t="s">
        <v>16</v>
      </c>
    </row>
    <row r="12" spans="2:20" ht="15" thickBot="1" x14ac:dyDescent="0.35">
      <c r="R12" s="14" t="s">
        <v>70</v>
      </c>
      <c r="S12" s="12" t="s">
        <v>67</v>
      </c>
      <c r="T12" s="14" t="s">
        <v>61</v>
      </c>
    </row>
    <row r="14" spans="2:20" x14ac:dyDescent="0.3">
      <c r="N14" t="s">
        <v>29</v>
      </c>
    </row>
    <row r="15" spans="2:20" ht="15" thickBot="1" x14ac:dyDescent="0.35">
      <c r="R15" t="s">
        <v>71</v>
      </c>
    </row>
    <row r="16" spans="2:20" ht="15" thickBot="1" x14ac:dyDescent="0.35">
      <c r="N16" s="8" t="s">
        <v>18</v>
      </c>
      <c r="O16" s="8" t="s">
        <v>17</v>
      </c>
      <c r="P16" s="8" t="s">
        <v>0</v>
      </c>
    </row>
    <row r="17" spans="14:20" ht="15" thickBot="1" x14ac:dyDescent="0.35">
      <c r="N17" s="10" t="s">
        <v>30</v>
      </c>
      <c r="O17" s="10" t="s">
        <v>20</v>
      </c>
      <c r="P17" s="10" t="s">
        <v>42</v>
      </c>
      <c r="R17" s="8" t="s">
        <v>18</v>
      </c>
      <c r="S17" s="8" t="s">
        <v>17</v>
      </c>
      <c r="T17" s="8" t="s">
        <v>0</v>
      </c>
    </row>
    <row r="18" spans="14:20" x14ac:dyDescent="0.3">
      <c r="N18" s="11" t="s">
        <v>26</v>
      </c>
      <c r="O18" s="11" t="s">
        <v>21</v>
      </c>
      <c r="P18" s="11" t="s">
        <v>34</v>
      </c>
      <c r="R18" s="10" t="s">
        <v>77</v>
      </c>
      <c r="S18" s="10" t="s">
        <v>72</v>
      </c>
      <c r="T18" s="10" t="s">
        <v>42</v>
      </c>
    </row>
    <row r="19" spans="14:20" x14ac:dyDescent="0.3">
      <c r="N19" s="13" t="s">
        <v>31</v>
      </c>
      <c r="O19" s="13" t="s">
        <v>22</v>
      </c>
      <c r="P19" s="13" t="s">
        <v>16</v>
      </c>
      <c r="R19" s="11" t="s">
        <v>78</v>
      </c>
      <c r="S19" s="11" t="s">
        <v>73</v>
      </c>
      <c r="T19" s="11" t="s">
        <v>34</v>
      </c>
    </row>
    <row r="20" spans="14:20" x14ac:dyDescent="0.3">
      <c r="N20" s="11" t="s">
        <v>32</v>
      </c>
      <c r="O20" s="13" t="s">
        <v>23</v>
      </c>
      <c r="P20" s="13" t="s">
        <v>34</v>
      </c>
      <c r="R20" s="13" t="s">
        <v>79</v>
      </c>
      <c r="S20" s="13" t="s">
        <v>74</v>
      </c>
      <c r="T20" s="13" t="s">
        <v>16</v>
      </c>
    </row>
    <row r="21" spans="14:20" x14ac:dyDescent="0.3">
      <c r="N21" s="11" t="s">
        <v>33</v>
      </c>
      <c r="O21" s="13" t="s">
        <v>24</v>
      </c>
      <c r="P21" s="13" t="s">
        <v>16</v>
      </c>
      <c r="R21" s="11" t="s">
        <v>80</v>
      </c>
      <c r="S21" s="13" t="s">
        <v>75</v>
      </c>
      <c r="T21" s="13" t="s">
        <v>34</v>
      </c>
    </row>
    <row r="22" spans="14:20" ht="15" thickBot="1" x14ac:dyDescent="0.35">
      <c r="N22" s="14" t="s">
        <v>4</v>
      </c>
      <c r="O22" s="12" t="s">
        <v>25</v>
      </c>
      <c r="P22" s="12" t="s">
        <v>16</v>
      </c>
      <c r="R22" s="14" t="s">
        <v>47</v>
      </c>
      <c r="S22" s="12" t="s">
        <v>76</v>
      </c>
      <c r="T22" s="12" t="s">
        <v>61</v>
      </c>
    </row>
    <row r="25" spans="14:20" x14ac:dyDescent="0.3">
      <c r="N25" t="s">
        <v>35</v>
      </c>
      <c r="R25" t="s">
        <v>48</v>
      </c>
    </row>
    <row r="26" spans="14:20" ht="15" thickBot="1" x14ac:dyDescent="0.35"/>
    <row r="27" spans="14:20" ht="15" thickBot="1" x14ac:dyDescent="0.35">
      <c r="N27" s="8" t="s">
        <v>18</v>
      </c>
      <c r="O27" s="8" t="s">
        <v>17</v>
      </c>
      <c r="P27" s="8" t="s">
        <v>0</v>
      </c>
      <c r="R27" s="8" t="s">
        <v>18</v>
      </c>
      <c r="S27" s="8" t="s">
        <v>17</v>
      </c>
      <c r="T27" s="8" t="s">
        <v>0</v>
      </c>
    </row>
    <row r="28" spans="14:20" x14ac:dyDescent="0.3">
      <c r="N28" s="10" t="s">
        <v>43</v>
      </c>
      <c r="O28" s="10" t="s">
        <v>36</v>
      </c>
      <c r="P28" s="10" t="s">
        <v>42</v>
      </c>
      <c r="R28" s="10" t="s">
        <v>56</v>
      </c>
      <c r="S28" s="10" t="s">
        <v>49</v>
      </c>
      <c r="T28" s="10" t="s">
        <v>42</v>
      </c>
    </row>
    <row r="29" spans="14:20" x14ac:dyDescent="0.3">
      <c r="N29" s="11" t="s">
        <v>26</v>
      </c>
      <c r="O29" s="11" t="s">
        <v>37</v>
      </c>
      <c r="P29" s="11" t="s">
        <v>34</v>
      </c>
      <c r="R29" s="11" t="s">
        <v>43</v>
      </c>
      <c r="S29" s="11" t="s">
        <v>50</v>
      </c>
      <c r="T29" s="11" t="s">
        <v>34</v>
      </c>
    </row>
    <row r="30" spans="14:20" x14ac:dyDescent="0.3">
      <c r="N30" s="13" t="s">
        <v>44</v>
      </c>
      <c r="O30" s="13" t="s">
        <v>38</v>
      </c>
      <c r="P30" s="13" t="s">
        <v>16</v>
      </c>
      <c r="R30" s="13" t="s">
        <v>30</v>
      </c>
      <c r="S30" s="13" t="s">
        <v>51</v>
      </c>
      <c r="T30" s="13" t="s">
        <v>16</v>
      </c>
    </row>
    <row r="31" spans="14:20" x14ac:dyDescent="0.3">
      <c r="N31" s="11" t="s">
        <v>45</v>
      </c>
      <c r="O31" s="13" t="s">
        <v>39</v>
      </c>
      <c r="P31" s="13" t="s">
        <v>34</v>
      </c>
      <c r="R31" s="11" t="s">
        <v>57</v>
      </c>
      <c r="S31" s="13" t="s">
        <v>52</v>
      </c>
      <c r="T31" s="13" t="s">
        <v>34</v>
      </c>
    </row>
    <row r="32" spans="14:20" x14ac:dyDescent="0.3">
      <c r="N32" s="11" t="s">
        <v>46</v>
      </c>
      <c r="O32" s="13" t="s">
        <v>40</v>
      </c>
      <c r="P32" s="13" t="s">
        <v>61</v>
      </c>
      <c r="R32" s="11" t="s">
        <v>58</v>
      </c>
      <c r="S32" s="13" t="s">
        <v>53</v>
      </c>
      <c r="T32" s="13" t="s">
        <v>16</v>
      </c>
    </row>
    <row r="33" spans="14:20" ht="15" thickBot="1" x14ac:dyDescent="0.35">
      <c r="N33" s="14" t="s">
        <v>47</v>
      </c>
      <c r="O33" s="12" t="s">
        <v>41</v>
      </c>
      <c r="P33" s="12" t="s">
        <v>16</v>
      </c>
      <c r="R33" s="11" t="s">
        <v>59</v>
      </c>
      <c r="S33" s="13" t="s">
        <v>54</v>
      </c>
      <c r="T33" s="13" t="s">
        <v>16</v>
      </c>
    </row>
    <row r="34" spans="14:20" ht="15" thickBot="1" x14ac:dyDescent="0.35">
      <c r="R34" s="14" t="s">
        <v>60</v>
      </c>
      <c r="S34" s="12" t="s">
        <v>55</v>
      </c>
      <c r="T34" s="14" t="s">
        <v>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9DB2-AC02-4E81-B851-DB6C3B66F2A5}">
  <dimension ref="A1:I33"/>
  <sheetViews>
    <sheetView workbookViewId="0">
      <selection activeCell="E20" sqref="E20"/>
    </sheetView>
  </sheetViews>
  <sheetFormatPr defaultRowHeight="14.4" x14ac:dyDescent="0.3"/>
  <cols>
    <col min="1" max="1" width="9.44140625" bestFit="1" customWidth="1"/>
    <col min="2" max="2" width="15" style="1" bestFit="1" customWidth="1"/>
    <col min="3" max="3" width="16.33203125" bestFit="1" customWidth="1"/>
    <col min="4" max="4" width="8.21875" customWidth="1"/>
    <col min="5" max="5" width="11" bestFit="1" customWidth="1"/>
    <col min="6" max="6" width="23" bestFit="1" customWidth="1"/>
    <col min="7" max="7" width="15.88671875" bestFit="1" customWidth="1"/>
    <col min="8" max="8" width="17" bestFit="1" customWidth="1"/>
    <col min="10" max="10" width="18.88671875" bestFit="1" customWidth="1"/>
    <col min="11" max="11" width="15.88671875" bestFit="1" customWidth="1"/>
    <col min="12" max="12" width="17" bestFit="1" customWidth="1"/>
    <col min="13" max="13" width="11.5546875" bestFit="1" customWidth="1"/>
  </cols>
  <sheetData>
    <row r="1" spans="1:9" x14ac:dyDescent="0.3">
      <c r="A1" t="s">
        <v>81</v>
      </c>
      <c r="B1" s="16" t="s">
        <v>112</v>
      </c>
      <c r="G1" s="15"/>
      <c r="H1" s="15"/>
      <c r="I1" s="15"/>
    </row>
    <row r="2" spans="1:9" x14ac:dyDescent="0.3">
      <c r="G2" s="3"/>
      <c r="H2" s="3"/>
      <c r="I2" s="3"/>
    </row>
    <row r="3" spans="1:9" x14ac:dyDescent="0.3">
      <c r="A3" s="17" t="s">
        <v>13</v>
      </c>
      <c r="B3" s="18" t="s">
        <v>14</v>
      </c>
      <c r="C3" s="17" t="s">
        <v>15</v>
      </c>
      <c r="E3" s="20"/>
      <c r="G3" s="3"/>
      <c r="H3" s="3"/>
      <c r="I3" s="3"/>
    </row>
    <row r="4" spans="1:9" x14ac:dyDescent="0.3">
      <c r="A4" s="3">
        <v>1</v>
      </c>
      <c r="B4" s="2" t="s">
        <v>82</v>
      </c>
      <c r="C4" s="19" t="str">
        <f>"0"&amp;81234567801</f>
        <v>081234567801</v>
      </c>
      <c r="G4" s="3"/>
      <c r="H4" s="3"/>
      <c r="I4" s="3"/>
    </row>
    <row r="5" spans="1:9" x14ac:dyDescent="0.3">
      <c r="A5" s="3">
        <v>2</v>
      </c>
      <c r="B5" s="2" t="s">
        <v>83</v>
      </c>
      <c r="C5" s="19" t="str">
        <f>"0"&amp;(C4+1)</f>
        <v>081234567802</v>
      </c>
      <c r="G5" s="3"/>
      <c r="H5" s="3"/>
      <c r="I5" s="3"/>
    </row>
    <row r="6" spans="1:9" x14ac:dyDescent="0.3">
      <c r="A6" s="3">
        <v>3</v>
      </c>
      <c r="B6" s="2" t="s">
        <v>84</v>
      </c>
      <c r="C6" s="19" t="str">
        <f t="shared" ref="C6:C33" si="0">"0"&amp;(C5+1)</f>
        <v>081234567803</v>
      </c>
      <c r="G6" s="3"/>
      <c r="H6" s="3"/>
      <c r="I6" s="3"/>
    </row>
    <row r="7" spans="1:9" x14ac:dyDescent="0.3">
      <c r="A7" s="3">
        <v>4</v>
      </c>
      <c r="B7" s="2" t="s">
        <v>85</v>
      </c>
      <c r="C7" s="19" t="str">
        <f t="shared" si="0"/>
        <v>081234567804</v>
      </c>
      <c r="G7" s="3"/>
      <c r="H7" s="3"/>
      <c r="I7" s="3"/>
    </row>
    <row r="8" spans="1:9" x14ac:dyDescent="0.3">
      <c r="A8" s="3">
        <v>5</v>
      </c>
      <c r="B8" s="2" t="s">
        <v>86</v>
      </c>
      <c r="C8" s="19" t="str">
        <f t="shared" si="0"/>
        <v>081234567805</v>
      </c>
      <c r="G8" s="3"/>
      <c r="H8" s="3"/>
      <c r="I8" s="3"/>
    </row>
    <row r="9" spans="1:9" x14ac:dyDescent="0.3">
      <c r="A9" s="3">
        <v>6</v>
      </c>
      <c r="B9" s="2" t="s">
        <v>87</v>
      </c>
      <c r="C9" s="19" t="str">
        <f t="shared" si="0"/>
        <v>081234567806</v>
      </c>
      <c r="G9" s="3"/>
      <c r="H9" s="3"/>
      <c r="I9" s="3"/>
    </row>
    <row r="10" spans="1:9" x14ac:dyDescent="0.3">
      <c r="A10" s="3">
        <v>7</v>
      </c>
      <c r="B10" s="2" t="s">
        <v>88</v>
      </c>
      <c r="C10" s="19" t="str">
        <f t="shared" si="0"/>
        <v>081234567807</v>
      </c>
      <c r="G10" s="3"/>
      <c r="H10" s="3"/>
      <c r="I10" s="3"/>
    </row>
    <row r="11" spans="1:9" x14ac:dyDescent="0.3">
      <c r="A11" s="3">
        <v>8</v>
      </c>
      <c r="B11" s="2" t="s">
        <v>89</v>
      </c>
      <c r="C11" s="19" t="str">
        <f t="shared" si="0"/>
        <v>081234567808</v>
      </c>
      <c r="G11" s="3"/>
      <c r="H11" s="3"/>
      <c r="I11" s="3"/>
    </row>
    <row r="12" spans="1:9" x14ac:dyDescent="0.3">
      <c r="A12" s="3">
        <v>9</v>
      </c>
      <c r="B12" s="2" t="s">
        <v>90</v>
      </c>
      <c r="C12" s="19" t="str">
        <f t="shared" si="0"/>
        <v>081234567809</v>
      </c>
      <c r="G12" s="3"/>
      <c r="H12" s="3"/>
      <c r="I12" s="3"/>
    </row>
    <row r="13" spans="1:9" x14ac:dyDescent="0.3">
      <c r="A13" s="3">
        <v>10</v>
      </c>
      <c r="B13" s="2" t="s">
        <v>91</v>
      </c>
      <c r="C13" s="19" t="str">
        <f t="shared" si="0"/>
        <v>081234567810</v>
      </c>
      <c r="G13" s="3"/>
      <c r="H13" s="3"/>
      <c r="I13" s="3"/>
    </row>
    <row r="14" spans="1:9" x14ac:dyDescent="0.3">
      <c r="A14" s="3">
        <v>11</v>
      </c>
      <c r="B14" s="2" t="s">
        <v>92</v>
      </c>
      <c r="C14" s="19" t="str">
        <f t="shared" si="0"/>
        <v>081234567811</v>
      </c>
      <c r="G14" s="3"/>
      <c r="H14" s="3"/>
      <c r="I14" s="3"/>
    </row>
    <row r="15" spans="1:9" x14ac:dyDescent="0.3">
      <c r="A15" s="3">
        <v>12</v>
      </c>
      <c r="B15" s="2" t="s">
        <v>93</v>
      </c>
      <c r="C15" s="19" t="str">
        <f t="shared" si="0"/>
        <v>081234567812</v>
      </c>
      <c r="G15" s="3"/>
      <c r="H15" s="3"/>
      <c r="I15" s="3"/>
    </row>
    <row r="16" spans="1:9" x14ac:dyDescent="0.3">
      <c r="A16" s="3">
        <v>13</v>
      </c>
      <c r="B16" s="2" t="s">
        <v>94</v>
      </c>
      <c r="C16" s="19" t="str">
        <f t="shared" si="0"/>
        <v>081234567813</v>
      </c>
      <c r="G16" s="3"/>
      <c r="H16" s="3"/>
      <c r="I16" s="3"/>
    </row>
    <row r="17" spans="1:9" x14ac:dyDescent="0.3">
      <c r="A17" s="3">
        <v>14</v>
      </c>
      <c r="B17" s="2" t="s">
        <v>95</v>
      </c>
      <c r="C17" s="19" t="str">
        <f t="shared" si="0"/>
        <v>081234567814</v>
      </c>
      <c r="G17" s="3"/>
      <c r="H17" s="3"/>
      <c r="I17" s="3"/>
    </row>
    <row r="18" spans="1:9" x14ac:dyDescent="0.3">
      <c r="A18" s="3">
        <v>15</v>
      </c>
      <c r="B18" s="2" t="s">
        <v>96</v>
      </c>
      <c r="C18" s="19" t="str">
        <f t="shared" si="0"/>
        <v>081234567815</v>
      </c>
      <c r="G18" s="3"/>
      <c r="H18" s="3"/>
      <c r="I18" s="3"/>
    </row>
    <row r="19" spans="1:9" x14ac:dyDescent="0.3">
      <c r="A19" s="3">
        <v>16</v>
      </c>
      <c r="B19" s="2" t="s">
        <v>97</v>
      </c>
      <c r="C19" s="19" t="str">
        <f t="shared" si="0"/>
        <v>081234567816</v>
      </c>
      <c r="G19" s="3"/>
      <c r="H19" s="3"/>
      <c r="I19" s="3"/>
    </row>
    <row r="20" spans="1:9" x14ac:dyDescent="0.3">
      <c r="A20" s="3">
        <v>17</v>
      </c>
      <c r="B20" s="2" t="s">
        <v>98</v>
      </c>
      <c r="C20" s="19" t="str">
        <f t="shared" si="0"/>
        <v>081234567817</v>
      </c>
      <c r="G20" s="3"/>
      <c r="H20" s="3"/>
      <c r="I20" s="3"/>
    </row>
    <row r="21" spans="1:9" x14ac:dyDescent="0.3">
      <c r="A21" s="3">
        <v>18</v>
      </c>
      <c r="B21" s="2" t="s">
        <v>99</v>
      </c>
      <c r="C21" s="19" t="str">
        <f t="shared" si="0"/>
        <v>081234567818</v>
      </c>
      <c r="G21" s="3"/>
      <c r="H21" s="3"/>
      <c r="I21" s="3"/>
    </row>
    <row r="22" spans="1:9" x14ac:dyDescent="0.3">
      <c r="A22" s="3">
        <v>19</v>
      </c>
      <c r="B22" s="2" t="s">
        <v>100</v>
      </c>
      <c r="C22" s="19" t="str">
        <f t="shared" si="0"/>
        <v>081234567819</v>
      </c>
      <c r="G22" s="3"/>
      <c r="H22" s="3"/>
      <c r="I22" s="3"/>
    </row>
    <row r="23" spans="1:9" x14ac:dyDescent="0.3">
      <c r="A23" s="3">
        <v>20</v>
      </c>
      <c r="B23" s="2" t="s">
        <v>101</v>
      </c>
      <c r="C23" s="19" t="str">
        <f t="shared" si="0"/>
        <v>081234567820</v>
      </c>
      <c r="G23" s="3"/>
      <c r="H23" s="3"/>
      <c r="I23" s="3"/>
    </row>
    <row r="24" spans="1:9" x14ac:dyDescent="0.3">
      <c r="A24" s="3">
        <v>21</v>
      </c>
      <c r="B24" s="2" t="s">
        <v>102</v>
      </c>
      <c r="C24" s="19" t="str">
        <f t="shared" si="0"/>
        <v>081234567821</v>
      </c>
      <c r="G24" s="3"/>
      <c r="H24" s="3"/>
      <c r="I24" s="3"/>
    </row>
    <row r="25" spans="1:9" x14ac:dyDescent="0.3">
      <c r="A25" s="3">
        <v>22</v>
      </c>
      <c r="B25" s="2" t="s">
        <v>103</v>
      </c>
      <c r="C25" s="19" t="str">
        <f t="shared" si="0"/>
        <v>081234567822</v>
      </c>
      <c r="G25" s="3"/>
      <c r="H25" s="3"/>
      <c r="I25" s="3"/>
    </row>
    <row r="26" spans="1:9" x14ac:dyDescent="0.3">
      <c r="A26" s="3">
        <v>23</v>
      </c>
      <c r="B26" s="2" t="s">
        <v>104</v>
      </c>
      <c r="C26" s="19" t="str">
        <f t="shared" si="0"/>
        <v>081234567823</v>
      </c>
      <c r="G26" s="3"/>
      <c r="H26" s="3"/>
      <c r="I26" s="3"/>
    </row>
    <row r="27" spans="1:9" x14ac:dyDescent="0.3">
      <c r="A27" s="3">
        <v>24</v>
      </c>
      <c r="B27" s="2" t="s">
        <v>105</v>
      </c>
      <c r="C27" s="19" t="str">
        <f t="shared" si="0"/>
        <v>081234567824</v>
      </c>
      <c r="G27" s="3"/>
      <c r="H27" s="3"/>
      <c r="I27" s="3"/>
    </row>
    <row r="28" spans="1:9" x14ac:dyDescent="0.3">
      <c r="A28" s="3">
        <v>25</v>
      </c>
      <c r="B28" s="2" t="s">
        <v>106</v>
      </c>
      <c r="C28" s="19" t="str">
        <f t="shared" si="0"/>
        <v>081234567825</v>
      </c>
      <c r="G28" s="3"/>
      <c r="H28" s="3"/>
      <c r="I28" s="3"/>
    </row>
    <row r="29" spans="1:9" x14ac:dyDescent="0.3">
      <c r="A29" s="3">
        <v>26</v>
      </c>
      <c r="B29" s="2" t="s">
        <v>107</v>
      </c>
      <c r="C29" s="19" t="str">
        <f t="shared" si="0"/>
        <v>081234567826</v>
      </c>
      <c r="G29" s="3"/>
      <c r="H29" s="3"/>
      <c r="I29" s="3"/>
    </row>
    <row r="30" spans="1:9" x14ac:dyDescent="0.3">
      <c r="A30" s="3">
        <v>27</v>
      </c>
      <c r="B30" s="2" t="s">
        <v>108</v>
      </c>
      <c r="C30" s="19" t="str">
        <f t="shared" si="0"/>
        <v>081234567827</v>
      </c>
      <c r="G30" s="3"/>
      <c r="H30" s="3"/>
      <c r="I30" s="3"/>
    </row>
    <row r="31" spans="1:9" x14ac:dyDescent="0.3">
      <c r="A31" s="3">
        <v>28</v>
      </c>
      <c r="B31" s="2" t="s">
        <v>109</v>
      </c>
      <c r="C31" s="19" t="str">
        <f t="shared" si="0"/>
        <v>081234567828</v>
      </c>
      <c r="G31" s="3"/>
      <c r="H31" s="3"/>
      <c r="I31" s="3"/>
    </row>
    <row r="32" spans="1:9" x14ac:dyDescent="0.3">
      <c r="A32" s="3">
        <v>29</v>
      </c>
      <c r="B32" s="2" t="s">
        <v>110</v>
      </c>
      <c r="C32" s="19" t="str">
        <f t="shared" si="0"/>
        <v>081234567829</v>
      </c>
    </row>
    <row r="33" spans="1:3" x14ac:dyDescent="0.3">
      <c r="A33" s="3">
        <v>30</v>
      </c>
      <c r="B33" s="2" t="s">
        <v>111</v>
      </c>
      <c r="C33" s="19" t="str">
        <f t="shared" si="0"/>
        <v>081234567830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D982-4621-49DD-B736-DB4129BE4934}">
  <dimension ref="A1:L93"/>
  <sheetViews>
    <sheetView topLeftCell="A69" workbookViewId="0">
      <selection activeCell="A3" sqref="A3:F93"/>
    </sheetView>
  </sheetViews>
  <sheetFormatPr defaultRowHeight="14.4" x14ac:dyDescent="0.3"/>
  <cols>
    <col min="1" max="1" width="8.6640625" bestFit="1" customWidth="1"/>
    <col min="2" max="2" width="11.44140625" bestFit="1" customWidth="1"/>
    <col min="3" max="3" width="8" bestFit="1" customWidth="1"/>
    <col min="4" max="4" width="9.88671875" bestFit="1" customWidth="1"/>
    <col min="5" max="5" width="11.5546875" bestFit="1" customWidth="1"/>
    <col min="6" max="6" width="10.6640625" style="1" bestFit="1" customWidth="1"/>
  </cols>
  <sheetData>
    <row r="1" spans="1:12" x14ac:dyDescent="0.3">
      <c r="A1" t="s">
        <v>81</v>
      </c>
      <c r="B1" s="4" t="s">
        <v>5</v>
      </c>
    </row>
    <row r="3" spans="1:12" x14ac:dyDescent="0.3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16" t="s">
        <v>25</v>
      </c>
    </row>
    <row r="4" spans="1:12" x14ac:dyDescent="0.3">
      <c r="A4">
        <v>1</v>
      </c>
      <c r="B4" s="3">
        <v>1</v>
      </c>
      <c r="C4" s="3" t="s">
        <v>117</v>
      </c>
      <c r="D4" s="21">
        <v>1</v>
      </c>
      <c r="E4" s="21">
        <v>100</v>
      </c>
      <c r="F4" s="2" t="s">
        <v>118</v>
      </c>
    </row>
    <row r="5" spans="1:12" x14ac:dyDescent="0.3">
      <c r="A5">
        <v>2</v>
      </c>
      <c r="B5" s="3">
        <v>2</v>
      </c>
      <c r="C5" s="3" t="s">
        <v>117</v>
      </c>
      <c r="D5" s="21">
        <v>2</v>
      </c>
      <c r="E5" s="21">
        <v>100</v>
      </c>
      <c r="F5" s="2" t="s">
        <v>118</v>
      </c>
    </row>
    <row r="6" spans="1:12" x14ac:dyDescent="0.3">
      <c r="A6">
        <v>3</v>
      </c>
      <c r="B6" s="3">
        <v>3</v>
      </c>
      <c r="C6" s="3" t="s">
        <v>117</v>
      </c>
      <c r="D6" s="21">
        <v>3</v>
      </c>
      <c r="E6" s="21">
        <v>100</v>
      </c>
      <c r="F6" s="2" t="s">
        <v>118</v>
      </c>
    </row>
    <row r="7" spans="1:12" x14ac:dyDescent="0.3">
      <c r="A7">
        <v>4</v>
      </c>
      <c r="B7" s="3">
        <v>11</v>
      </c>
      <c r="C7" s="3" t="s">
        <v>117</v>
      </c>
      <c r="D7" s="21">
        <v>4</v>
      </c>
      <c r="E7" s="21">
        <v>100</v>
      </c>
      <c r="F7" s="2" t="s">
        <v>118</v>
      </c>
      <c r="L7" s="2"/>
    </row>
    <row r="8" spans="1:12" x14ac:dyDescent="0.3">
      <c r="A8">
        <v>5</v>
      </c>
      <c r="B8" s="3">
        <v>12</v>
      </c>
      <c r="C8" s="3" t="s">
        <v>117</v>
      </c>
      <c r="D8" s="21">
        <v>5</v>
      </c>
      <c r="E8" s="21">
        <v>100</v>
      </c>
      <c r="F8" s="2" t="s">
        <v>118</v>
      </c>
      <c r="L8" s="2"/>
    </row>
    <row r="9" spans="1:12" x14ac:dyDescent="0.3">
      <c r="A9">
        <v>6</v>
      </c>
      <c r="B9" s="3">
        <v>4</v>
      </c>
      <c r="C9" s="3" t="s">
        <v>117</v>
      </c>
      <c r="D9" s="21">
        <v>6</v>
      </c>
      <c r="E9" s="21">
        <v>100</v>
      </c>
      <c r="F9" s="2" t="s">
        <v>119</v>
      </c>
      <c r="L9" s="2"/>
    </row>
    <row r="10" spans="1:12" x14ac:dyDescent="0.3">
      <c r="A10">
        <v>7</v>
      </c>
      <c r="B10" s="3">
        <v>5</v>
      </c>
      <c r="C10" s="3" t="s">
        <v>117</v>
      </c>
      <c r="D10" s="21">
        <v>7</v>
      </c>
      <c r="E10" s="21">
        <v>100</v>
      </c>
      <c r="F10" s="2" t="s">
        <v>119</v>
      </c>
    </row>
    <row r="11" spans="1:12" x14ac:dyDescent="0.3">
      <c r="A11">
        <v>8</v>
      </c>
      <c r="B11" s="3">
        <v>28</v>
      </c>
      <c r="C11" s="3" t="s">
        <v>117</v>
      </c>
      <c r="D11" s="21">
        <v>8</v>
      </c>
      <c r="E11" s="21">
        <v>100</v>
      </c>
      <c r="F11" s="2" t="s">
        <v>119</v>
      </c>
    </row>
    <row r="12" spans="1:12" x14ac:dyDescent="0.3">
      <c r="A12">
        <v>9</v>
      </c>
      <c r="B12" s="3">
        <v>29</v>
      </c>
      <c r="C12" s="3" t="s">
        <v>117</v>
      </c>
      <c r="D12" s="21">
        <v>9</v>
      </c>
      <c r="E12" s="21">
        <v>100</v>
      </c>
      <c r="F12" s="2" t="s">
        <v>119</v>
      </c>
    </row>
    <row r="13" spans="1:12" x14ac:dyDescent="0.3">
      <c r="A13">
        <v>10</v>
      </c>
      <c r="B13" s="3">
        <v>30</v>
      </c>
      <c r="C13" s="3" t="s">
        <v>117</v>
      </c>
      <c r="D13" s="21">
        <v>10</v>
      </c>
      <c r="E13" s="21">
        <v>100</v>
      </c>
      <c r="F13" s="2" t="s">
        <v>119</v>
      </c>
    </row>
    <row r="14" spans="1:12" x14ac:dyDescent="0.3">
      <c r="A14">
        <v>11</v>
      </c>
      <c r="C14" s="3" t="s">
        <v>117</v>
      </c>
      <c r="D14" s="21">
        <v>11</v>
      </c>
      <c r="E14" s="21">
        <v>100</v>
      </c>
      <c r="F14" s="2" t="s">
        <v>120</v>
      </c>
    </row>
    <row r="15" spans="1:12" x14ac:dyDescent="0.3">
      <c r="A15">
        <v>12</v>
      </c>
      <c r="C15" s="3" t="s">
        <v>117</v>
      </c>
      <c r="D15" s="21">
        <v>12</v>
      </c>
      <c r="E15" s="21">
        <v>100</v>
      </c>
      <c r="F15" s="2" t="s">
        <v>120</v>
      </c>
    </row>
    <row r="16" spans="1:12" x14ac:dyDescent="0.3">
      <c r="A16">
        <v>13</v>
      </c>
      <c r="C16" s="3" t="s">
        <v>117</v>
      </c>
      <c r="D16" s="21">
        <v>13</v>
      </c>
      <c r="E16" s="21">
        <v>100</v>
      </c>
      <c r="F16" s="2" t="s">
        <v>120</v>
      </c>
    </row>
    <row r="17" spans="1:6" x14ac:dyDescent="0.3">
      <c r="A17">
        <v>14</v>
      </c>
      <c r="C17" s="3" t="s">
        <v>117</v>
      </c>
      <c r="D17" s="21">
        <v>14</v>
      </c>
      <c r="E17" s="21">
        <v>100</v>
      </c>
      <c r="F17" s="2" t="s">
        <v>120</v>
      </c>
    </row>
    <row r="18" spans="1:6" x14ac:dyDescent="0.3">
      <c r="A18">
        <v>15</v>
      </c>
      <c r="C18" s="3" t="s">
        <v>117</v>
      </c>
      <c r="D18" s="21">
        <v>15</v>
      </c>
      <c r="E18" s="21">
        <v>100</v>
      </c>
      <c r="F18" s="2" t="s">
        <v>120</v>
      </c>
    </row>
    <row r="19" spans="1:6" x14ac:dyDescent="0.3">
      <c r="A19">
        <v>16</v>
      </c>
      <c r="C19" s="3" t="s">
        <v>117</v>
      </c>
      <c r="D19" s="21">
        <v>16</v>
      </c>
      <c r="E19" s="21">
        <v>100</v>
      </c>
      <c r="F19" s="2" t="s">
        <v>120</v>
      </c>
    </row>
    <row r="20" spans="1:6" x14ac:dyDescent="0.3">
      <c r="A20">
        <v>17</v>
      </c>
      <c r="C20" s="3" t="s">
        <v>117</v>
      </c>
      <c r="D20" s="21">
        <v>17</v>
      </c>
      <c r="E20" s="21">
        <v>100</v>
      </c>
      <c r="F20" s="2" t="s">
        <v>120</v>
      </c>
    </row>
    <row r="21" spans="1:6" x14ac:dyDescent="0.3">
      <c r="A21">
        <v>18</v>
      </c>
      <c r="C21" s="3" t="s">
        <v>117</v>
      </c>
      <c r="D21" s="21">
        <v>18</v>
      </c>
      <c r="E21" s="21">
        <v>100</v>
      </c>
      <c r="F21" s="2" t="s">
        <v>120</v>
      </c>
    </row>
    <row r="22" spans="1:6" x14ac:dyDescent="0.3">
      <c r="A22">
        <v>19</v>
      </c>
      <c r="C22" s="3" t="s">
        <v>117</v>
      </c>
      <c r="D22" s="21">
        <v>19</v>
      </c>
      <c r="E22" s="21">
        <v>100</v>
      </c>
      <c r="F22" s="2" t="s">
        <v>120</v>
      </c>
    </row>
    <row r="23" spans="1:6" x14ac:dyDescent="0.3">
      <c r="A23">
        <v>20</v>
      </c>
      <c r="C23" s="3" t="s">
        <v>117</v>
      </c>
      <c r="D23" s="21">
        <v>20</v>
      </c>
      <c r="E23" s="21">
        <v>100</v>
      </c>
      <c r="F23" s="2" t="s">
        <v>120</v>
      </c>
    </row>
    <row r="24" spans="1:6" x14ac:dyDescent="0.3">
      <c r="A24">
        <v>21</v>
      </c>
      <c r="B24" s="3">
        <v>4</v>
      </c>
      <c r="C24" s="3" t="s">
        <v>121</v>
      </c>
      <c r="D24" s="21">
        <v>1</v>
      </c>
      <c r="E24" s="21">
        <v>100</v>
      </c>
      <c r="F24" s="2" t="s">
        <v>118</v>
      </c>
    </row>
    <row r="25" spans="1:6" x14ac:dyDescent="0.3">
      <c r="A25">
        <v>22</v>
      </c>
      <c r="B25" s="3">
        <v>5</v>
      </c>
      <c r="C25" s="3" t="s">
        <v>121</v>
      </c>
      <c r="D25" s="21">
        <v>2</v>
      </c>
      <c r="E25" s="21">
        <v>100</v>
      </c>
      <c r="F25" s="2" t="s">
        <v>118</v>
      </c>
    </row>
    <row r="26" spans="1:6" x14ac:dyDescent="0.3">
      <c r="A26">
        <v>23</v>
      </c>
      <c r="B26" s="3">
        <v>13</v>
      </c>
      <c r="C26" s="3" t="s">
        <v>121</v>
      </c>
      <c r="D26" s="21">
        <v>3</v>
      </c>
      <c r="E26" s="21">
        <v>100</v>
      </c>
      <c r="F26" s="2" t="s">
        <v>118</v>
      </c>
    </row>
    <row r="27" spans="1:6" x14ac:dyDescent="0.3">
      <c r="A27">
        <v>24</v>
      </c>
      <c r="B27" s="3">
        <v>14</v>
      </c>
      <c r="C27" s="3" t="s">
        <v>121</v>
      </c>
      <c r="D27" s="21">
        <v>4</v>
      </c>
      <c r="E27" s="21">
        <v>100</v>
      </c>
      <c r="F27" s="2" t="s">
        <v>118</v>
      </c>
    </row>
    <row r="28" spans="1:6" x14ac:dyDescent="0.3">
      <c r="A28">
        <v>25</v>
      </c>
      <c r="B28" s="3">
        <v>15</v>
      </c>
      <c r="C28" s="3" t="s">
        <v>121</v>
      </c>
      <c r="D28" s="21">
        <v>5</v>
      </c>
      <c r="E28" s="21">
        <v>100</v>
      </c>
      <c r="F28" s="2" t="s">
        <v>118</v>
      </c>
    </row>
    <row r="29" spans="1:6" x14ac:dyDescent="0.3">
      <c r="A29">
        <v>26</v>
      </c>
      <c r="B29" s="3">
        <v>1</v>
      </c>
      <c r="C29" s="3" t="s">
        <v>121</v>
      </c>
      <c r="D29" s="21">
        <v>6</v>
      </c>
      <c r="E29" s="21">
        <v>100</v>
      </c>
      <c r="F29" s="2" t="s">
        <v>119</v>
      </c>
    </row>
    <row r="30" spans="1:6" x14ac:dyDescent="0.3">
      <c r="A30">
        <v>27</v>
      </c>
      <c r="B30" s="3">
        <v>2</v>
      </c>
      <c r="C30" s="3" t="s">
        <v>121</v>
      </c>
      <c r="D30" s="21">
        <v>7</v>
      </c>
      <c r="E30" s="21">
        <v>100</v>
      </c>
      <c r="F30" s="2" t="s">
        <v>119</v>
      </c>
    </row>
    <row r="31" spans="1:6" x14ac:dyDescent="0.3">
      <c r="A31">
        <v>28</v>
      </c>
      <c r="B31" s="3">
        <v>3</v>
      </c>
      <c r="C31" s="3" t="s">
        <v>121</v>
      </c>
      <c r="D31" s="21">
        <v>8</v>
      </c>
      <c r="E31" s="21">
        <v>100</v>
      </c>
      <c r="F31" s="2" t="s">
        <v>119</v>
      </c>
    </row>
    <row r="32" spans="1:6" x14ac:dyDescent="0.3">
      <c r="A32">
        <v>29</v>
      </c>
      <c r="B32" s="3">
        <v>26</v>
      </c>
      <c r="C32" s="3" t="s">
        <v>121</v>
      </c>
      <c r="D32" s="21">
        <v>9</v>
      </c>
      <c r="E32" s="21">
        <v>100</v>
      </c>
      <c r="F32" s="2" t="s">
        <v>119</v>
      </c>
    </row>
    <row r="33" spans="1:6" x14ac:dyDescent="0.3">
      <c r="A33">
        <v>30</v>
      </c>
      <c r="B33" s="3">
        <v>27</v>
      </c>
      <c r="C33" s="3" t="s">
        <v>121</v>
      </c>
      <c r="D33" s="21">
        <v>10</v>
      </c>
      <c r="E33" s="21">
        <v>100</v>
      </c>
      <c r="F33" s="2" t="s">
        <v>119</v>
      </c>
    </row>
    <row r="34" spans="1:6" x14ac:dyDescent="0.3">
      <c r="A34">
        <v>31</v>
      </c>
      <c r="C34" s="3" t="s">
        <v>121</v>
      </c>
      <c r="D34" s="21">
        <v>11</v>
      </c>
      <c r="E34" s="21">
        <v>100</v>
      </c>
      <c r="F34" s="2" t="s">
        <v>120</v>
      </c>
    </row>
    <row r="35" spans="1:6" x14ac:dyDescent="0.3">
      <c r="A35">
        <v>32</v>
      </c>
      <c r="C35" s="3" t="s">
        <v>121</v>
      </c>
      <c r="D35" s="21">
        <v>12</v>
      </c>
      <c r="E35" s="21">
        <v>100</v>
      </c>
      <c r="F35" s="2" t="s">
        <v>120</v>
      </c>
    </row>
    <row r="36" spans="1:6" x14ac:dyDescent="0.3">
      <c r="A36">
        <v>33</v>
      </c>
      <c r="C36" s="3" t="s">
        <v>121</v>
      </c>
      <c r="D36" s="21">
        <v>13</v>
      </c>
      <c r="E36" s="21">
        <v>100</v>
      </c>
      <c r="F36" s="2" t="s">
        <v>120</v>
      </c>
    </row>
    <row r="37" spans="1:6" x14ac:dyDescent="0.3">
      <c r="A37">
        <v>34</v>
      </c>
      <c r="C37" s="3" t="s">
        <v>121</v>
      </c>
      <c r="D37" s="21">
        <v>14</v>
      </c>
      <c r="E37" s="21">
        <v>100</v>
      </c>
      <c r="F37" s="2" t="s">
        <v>120</v>
      </c>
    </row>
    <row r="38" spans="1:6" x14ac:dyDescent="0.3">
      <c r="A38">
        <v>35</v>
      </c>
      <c r="C38" s="3" t="s">
        <v>121</v>
      </c>
      <c r="D38" s="21">
        <v>15</v>
      </c>
      <c r="E38" s="21">
        <v>100</v>
      </c>
      <c r="F38" s="2" t="s">
        <v>120</v>
      </c>
    </row>
    <row r="39" spans="1:6" x14ac:dyDescent="0.3">
      <c r="A39">
        <v>36</v>
      </c>
      <c r="C39" s="3" t="s">
        <v>121</v>
      </c>
      <c r="D39" s="21">
        <v>16</v>
      </c>
      <c r="E39" s="21">
        <v>100</v>
      </c>
      <c r="F39" s="2" t="s">
        <v>120</v>
      </c>
    </row>
    <row r="40" spans="1:6" x14ac:dyDescent="0.3">
      <c r="A40">
        <v>37</v>
      </c>
      <c r="C40" s="3" t="s">
        <v>121</v>
      </c>
      <c r="D40" s="21">
        <v>17</v>
      </c>
      <c r="E40" s="21">
        <v>100</v>
      </c>
      <c r="F40" s="2" t="s">
        <v>120</v>
      </c>
    </row>
    <row r="41" spans="1:6" x14ac:dyDescent="0.3">
      <c r="A41">
        <v>38</v>
      </c>
      <c r="C41" s="3" t="s">
        <v>121</v>
      </c>
      <c r="D41" s="21">
        <v>18</v>
      </c>
      <c r="E41" s="21">
        <v>100</v>
      </c>
      <c r="F41" s="2" t="s">
        <v>120</v>
      </c>
    </row>
    <row r="42" spans="1:6" x14ac:dyDescent="0.3">
      <c r="A42">
        <v>39</v>
      </c>
      <c r="C42" s="3" t="s">
        <v>121</v>
      </c>
      <c r="D42" s="21">
        <v>19</v>
      </c>
      <c r="E42" s="21">
        <v>100</v>
      </c>
      <c r="F42" s="2" t="s">
        <v>120</v>
      </c>
    </row>
    <row r="43" spans="1:6" x14ac:dyDescent="0.3">
      <c r="A43">
        <v>40</v>
      </c>
      <c r="C43" s="3" t="s">
        <v>121</v>
      </c>
      <c r="D43" s="21">
        <v>20</v>
      </c>
      <c r="E43" s="21">
        <v>100</v>
      </c>
      <c r="F43" s="2" t="s">
        <v>120</v>
      </c>
    </row>
    <row r="44" spans="1:6" x14ac:dyDescent="0.3">
      <c r="A44">
        <v>41</v>
      </c>
      <c r="B44" s="3">
        <v>8</v>
      </c>
      <c r="C44" s="3" t="s">
        <v>122</v>
      </c>
      <c r="D44" s="21">
        <v>1</v>
      </c>
      <c r="E44" s="21">
        <v>100</v>
      </c>
      <c r="F44" s="2" t="s">
        <v>118</v>
      </c>
    </row>
    <row r="45" spans="1:6" x14ac:dyDescent="0.3">
      <c r="A45">
        <v>42</v>
      </c>
      <c r="B45" s="3">
        <v>9</v>
      </c>
      <c r="C45" s="3" t="s">
        <v>122</v>
      </c>
      <c r="D45" s="21">
        <v>2</v>
      </c>
      <c r="E45" s="21">
        <v>100</v>
      </c>
      <c r="F45" s="2" t="s">
        <v>118</v>
      </c>
    </row>
    <row r="46" spans="1:6" x14ac:dyDescent="0.3">
      <c r="A46">
        <v>43</v>
      </c>
      <c r="B46" s="3">
        <v>10</v>
      </c>
      <c r="C46" s="3" t="s">
        <v>122</v>
      </c>
      <c r="D46" s="21">
        <v>3</v>
      </c>
      <c r="E46" s="21">
        <v>100</v>
      </c>
      <c r="F46" s="2" t="s">
        <v>118</v>
      </c>
    </row>
    <row r="47" spans="1:6" x14ac:dyDescent="0.3">
      <c r="A47">
        <v>44</v>
      </c>
      <c r="B47" s="3">
        <v>16</v>
      </c>
      <c r="C47" s="3" t="s">
        <v>122</v>
      </c>
      <c r="D47" s="21">
        <v>4</v>
      </c>
      <c r="E47" s="21">
        <v>100</v>
      </c>
      <c r="F47" s="2" t="s">
        <v>118</v>
      </c>
    </row>
    <row r="48" spans="1:6" x14ac:dyDescent="0.3">
      <c r="A48">
        <v>45</v>
      </c>
      <c r="B48" s="3">
        <v>17</v>
      </c>
      <c r="C48" s="3" t="s">
        <v>122</v>
      </c>
      <c r="D48" s="21">
        <v>5</v>
      </c>
      <c r="E48" s="21">
        <v>100</v>
      </c>
      <c r="F48" s="2" t="s">
        <v>118</v>
      </c>
    </row>
    <row r="49" spans="1:6" x14ac:dyDescent="0.3">
      <c r="A49">
        <v>46</v>
      </c>
      <c r="B49" s="3">
        <v>6</v>
      </c>
      <c r="C49" s="3" t="s">
        <v>122</v>
      </c>
      <c r="D49" s="21">
        <v>6</v>
      </c>
      <c r="E49" s="21">
        <v>100</v>
      </c>
      <c r="F49" s="2" t="s">
        <v>119</v>
      </c>
    </row>
    <row r="50" spans="1:6" x14ac:dyDescent="0.3">
      <c r="A50">
        <v>47</v>
      </c>
      <c r="B50" s="3">
        <v>7</v>
      </c>
      <c r="C50" s="3" t="s">
        <v>122</v>
      </c>
      <c r="D50" s="21">
        <v>7</v>
      </c>
      <c r="E50" s="21">
        <v>100</v>
      </c>
      <c r="F50" s="2" t="s">
        <v>119</v>
      </c>
    </row>
    <row r="51" spans="1:6" x14ac:dyDescent="0.3">
      <c r="A51">
        <v>48</v>
      </c>
      <c r="B51" s="3">
        <v>23</v>
      </c>
      <c r="C51" s="3" t="s">
        <v>122</v>
      </c>
      <c r="D51" s="21">
        <v>8</v>
      </c>
      <c r="E51" s="21">
        <v>100</v>
      </c>
      <c r="F51" s="2" t="s">
        <v>119</v>
      </c>
    </row>
    <row r="52" spans="1:6" x14ac:dyDescent="0.3">
      <c r="A52">
        <v>49</v>
      </c>
      <c r="B52" s="3">
        <v>24</v>
      </c>
      <c r="C52" s="3" t="s">
        <v>122</v>
      </c>
      <c r="D52" s="21">
        <v>9</v>
      </c>
      <c r="E52" s="21">
        <v>100</v>
      </c>
      <c r="F52" s="2" t="s">
        <v>119</v>
      </c>
    </row>
    <row r="53" spans="1:6" x14ac:dyDescent="0.3">
      <c r="A53">
        <v>50</v>
      </c>
      <c r="B53" s="3">
        <v>25</v>
      </c>
      <c r="C53" s="3" t="s">
        <v>122</v>
      </c>
      <c r="D53" s="21">
        <v>10</v>
      </c>
      <c r="E53" s="21">
        <v>100</v>
      </c>
      <c r="F53" s="2" t="s">
        <v>119</v>
      </c>
    </row>
    <row r="54" spans="1:6" x14ac:dyDescent="0.3">
      <c r="A54">
        <v>51</v>
      </c>
      <c r="C54" s="3" t="s">
        <v>122</v>
      </c>
      <c r="D54" s="21">
        <v>11</v>
      </c>
      <c r="E54" s="21">
        <v>100</v>
      </c>
      <c r="F54" s="2" t="s">
        <v>120</v>
      </c>
    </row>
    <row r="55" spans="1:6" x14ac:dyDescent="0.3">
      <c r="A55">
        <v>52</v>
      </c>
      <c r="C55" s="3" t="s">
        <v>122</v>
      </c>
      <c r="D55" s="21">
        <v>12</v>
      </c>
      <c r="E55" s="21">
        <v>100</v>
      </c>
      <c r="F55" s="2" t="s">
        <v>120</v>
      </c>
    </row>
    <row r="56" spans="1:6" x14ac:dyDescent="0.3">
      <c r="A56">
        <v>53</v>
      </c>
      <c r="C56" s="3" t="s">
        <v>122</v>
      </c>
      <c r="D56" s="21">
        <v>13</v>
      </c>
      <c r="E56" s="21">
        <v>100</v>
      </c>
      <c r="F56" s="2" t="s">
        <v>120</v>
      </c>
    </row>
    <row r="57" spans="1:6" x14ac:dyDescent="0.3">
      <c r="A57">
        <v>54</v>
      </c>
      <c r="C57" s="3" t="s">
        <v>122</v>
      </c>
      <c r="D57" s="21">
        <v>14</v>
      </c>
      <c r="E57" s="21">
        <v>100</v>
      </c>
      <c r="F57" s="2" t="s">
        <v>120</v>
      </c>
    </row>
    <row r="58" spans="1:6" x14ac:dyDescent="0.3">
      <c r="A58">
        <v>55</v>
      </c>
      <c r="C58" s="3" t="s">
        <v>122</v>
      </c>
      <c r="D58" s="21">
        <v>15</v>
      </c>
      <c r="E58" s="21">
        <v>100</v>
      </c>
      <c r="F58" s="2" t="s">
        <v>120</v>
      </c>
    </row>
    <row r="59" spans="1:6" x14ac:dyDescent="0.3">
      <c r="A59">
        <v>56</v>
      </c>
      <c r="C59" s="3" t="s">
        <v>122</v>
      </c>
      <c r="D59" s="21">
        <v>16</v>
      </c>
      <c r="E59" s="21">
        <v>100</v>
      </c>
      <c r="F59" s="2" t="s">
        <v>120</v>
      </c>
    </row>
    <row r="60" spans="1:6" x14ac:dyDescent="0.3">
      <c r="A60">
        <v>57</v>
      </c>
      <c r="C60" s="3" t="s">
        <v>122</v>
      </c>
      <c r="D60" s="21">
        <v>17</v>
      </c>
      <c r="E60" s="21">
        <v>100</v>
      </c>
      <c r="F60" s="2" t="s">
        <v>120</v>
      </c>
    </row>
    <row r="61" spans="1:6" x14ac:dyDescent="0.3">
      <c r="A61">
        <v>58</v>
      </c>
      <c r="C61" s="3" t="s">
        <v>122</v>
      </c>
      <c r="D61" s="21">
        <v>18</v>
      </c>
      <c r="E61" s="21">
        <v>100</v>
      </c>
      <c r="F61" s="2" t="s">
        <v>120</v>
      </c>
    </row>
    <row r="62" spans="1:6" x14ac:dyDescent="0.3">
      <c r="A62">
        <v>59</v>
      </c>
      <c r="C62" s="3" t="s">
        <v>122</v>
      </c>
      <c r="D62" s="21">
        <v>19</v>
      </c>
      <c r="E62" s="21">
        <v>100</v>
      </c>
      <c r="F62" s="2" t="s">
        <v>120</v>
      </c>
    </row>
    <row r="63" spans="1:6" x14ac:dyDescent="0.3">
      <c r="A63">
        <v>60</v>
      </c>
      <c r="C63" s="3" t="s">
        <v>122</v>
      </c>
      <c r="D63" s="21">
        <v>20</v>
      </c>
      <c r="E63" s="21">
        <v>100</v>
      </c>
      <c r="F63" s="2" t="s">
        <v>120</v>
      </c>
    </row>
    <row r="64" spans="1:6" x14ac:dyDescent="0.3">
      <c r="A64">
        <v>61</v>
      </c>
      <c r="B64" s="3">
        <v>6</v>
      </c>
      <c r="C64" s="3" t="s">
        <v>123</v>
      </c>
      <c r="D64" s="21">
        <v>1</v>
      </c>
      <c r="E64" s="21">
        <v>100</v>
      </c>
      <c r="F64" s="2" t="s">
        <v>118</v>
      </c>
    </row>
    <row r="65" spans="1:6" x14ac:dyDescent="0.3">
      <c r="A65">
        <v>62</v>
      </c>
      <c r="B65" s="3">
        <v>7</v>
      </c>
      <c r="C65" s="3" t="s">
        <v>123</v>
      </c>
      <c r="D65" s="21">
        <v>2</v>
      </c>
      <c r="E65" s="21">
        <v>100</v>
      </c>
      <c r="F65" s="2" t="s">
        <v>118</v>
      </c>
    </row>
    <row r="66" spans="1:6" x14ac:dyDescent="0.3">
      <c r="A66">
        <v>63</v>
      </c>
      <c r="B66" s="3">
        <v>18</v>
      </c>
      <c r="C66" s="3" t="s">
        <v>123</v>
      </c>
      <c r="D66" s="21">
        <v>3</v>
      </c>
      <c r="E66" s="21">
        <v>100</v>
      </c>
      <c r="F66" s="2" t="s">
        <v>118</v>
      </c>
    </row>
    <row r="67" spans="1:6" x14ac:dyDescent="0.3">
      <c r="A67">
        <v>64</v>
      </c>
      <c r="B67" s="3">
        <v>19</v>
      </c>
      <c r="C67" s="3" t="s">
        <v>123</v>
      </c>
      <c r="D67" s="21">
        <v>4</v>
      </c>
      <c r="E67" s="21">
        <v>100</v>
      </c>
      <c r="F67" s="2" t="s">
        <v>118</v>
      </c>
    </row>
    <row r="68" spans="1:6" x14ac:dyDescent="0.3">
      <c r="A68">
        <v>65</v>
      </c>
      <c r="B68" s="3">
        <v>20</v>
      </c>
      <c r="C68" s="3" t="s">
        <v>123</v>
      </c>
      <c r="D68" s="21">
        <v>5</v>
      </c>
      <c r="E68" s="21">
        <v>100</v>
      </c>
      <c r="F68" s="2" t="s">
        <v>118</v>
      </c>
    </row>
    <row r="69" spans="1:6" x14ac:dyDescent="0.3">
      <c r="A69">
        <v>66</v>
      </c>
      <c r="B69" s="3">
        <v>8</v>
      </c>
      <c r="C69" s="3" t="s">
        <v>123</v>
      </c>
      <c r="D69" s="21">
        <v>6</v>
      </c>
      <c r="E69" s="21">
        <v>100</v>
      </c>
      <c r="F69" s="2" t="s">
        <v>119</v>
      </c>
    </row>
    <row r="70" spans="1:6" x14ac:dyDescent="0.3">
      <c r="A70">
        <v>67</v>
      </c>
      <c r="B70" s="3">
        <v>9</v>
      </c>
      <c r="C70" s="3" t="s">
        <v>123</v>
      </c>
      <c r="D70" s="21">
        <v>7</v>
      </c>
      <c r="E70" s="21">
        <v>100</v>
      </c>
      <c r="F70" s="2" t="s">
        <v>119</v>
      </c>
    </row>
    <row r="71" spans="1:6" x14ac:dyDescent="0.3">
      <c r="A71">
        <v>68</v>
      </c>
      <c r="B71" s="3">
        <v>10</v>
      </c>
      <c r="C71" s="3" t="s">
        <v>123</v>
      </c>
      <c r="D71" s="21">
        <v>8</v>
      </c>
      <c r="E71" s="21">
        <v>100</v>
      </c>
      <c r="F71" s="2" t="s">
        <v>119</v>
      </c>
    </row>
    <row r="72" spans="1:6" x14ac:dyDescent="0.3">
      <c r="A72">
        <v>69</v>
      </c>
      <c r="B72" s="3">
        <v>21</v>
      </c>
      <c r="C72" s="3" t="s">
        <v>123</v>
      </c>
      <c r="D72" s="21">
        <v>9</v>
      </c>
      <c r="E72" s="21">
        <v>100</v>
      </c>
      <c r="F72" s="2" t="s">
        <v>119</v>
      </c>
    </row>
    <row r="73" spans="1:6" x14ac:dyDescent="0.3">
      <c r="A73">
        <v>70</v>
      </c>
      <c r="B73" s="3">
        <v>22</v>
      </c>
      <c r="C73" s="3" t="s">
        <v>123</v>
      </c>
      <c r="D73" s="21">
        <v>10</v>
      </c>
      <c r="E73" s="21">
        <v>100</v>
      </c>
      <c r="F73" s="2" t="s">
        <v>119</v>
      </c>
    </row>
    <row r="74" spans="1:6" x14ac:dyDescent="0.3">
      <c r="A74">
        <v>71</v>
      </c>
      <c r="C74" s="3" t="s">
        <v>123</v>
      </c>
      <c r="D74" s="21">
        <v>11</v>
      </c>
      <c r="E74" s="21">
        <v>100</v>
      </c>
      <c r="F74" s="2" t="s">
        <v>120</v>
      </c>
    </row>
    <row r="75" spans="1:6" x14ac:dyDescent="0.3">
      <c r="A75">
        <v>72</v>
      </c>
      <c r="C75" s="3" t="s">
        <v>123</v>
      </c>
      <c r="D75" s="21">
        <v>12</v>
      </c>
      <c r="E75" s="21">
        <v>100</v>
      </c>
      <c r="F75" s="2" t="s">
        <v>120</v>
      </c>
    </row>
    <row r="76" spans="1:6" x14ac:dyDescent="0.3">
      <c r="A76">
        <v>73</v>
      </c>
      <c r="C76" s="3" t="s">
        <v>123</v>
      </c>
      <c r="D76" s="21">
        <v>13</v>
      </c>
      <c r="E76" s="21">
        <v>100</v>
      </c>
      <c r="F76" s="2" t="s">
        <v>120</v>
      </c>
    </row>
    <row r="77" spans="1:6" x14ac:dyDescent="0.3">
      <c r="A77">
        <v>74</v>
      </c>
      <c r="C77" s="3" t="s">
        <v>123</v>
      </c>
      <c r="D77" s="21">
        <v>14</v>
      </c>
      <c r="E77" s="21">
        <v>100</v>
      </c>
      <c r="F77" s="2" t="s">
        <v>120</v>
      </c>
    </row>
    <row r="78" spans="1:6" x14ac:dyDescent="0.3">
      <c r="A78">
        <v>75</v>
      </c>
      <c r="C78" s="3" t="s">
        <v>123</v>
      </c>
      <c r="D78" s="21">
        <v>15</v>
      </c>
      <c r="E78" s="21">
        <v>100</v>
      </c>
      <c r="F78" s="2" t="s">
        <v>120</v>
      </c>
    </row>
    <row r="79" spans="1:6" x14ac:dyDescent="0.3">
      <c r="A79">
        <v>76</v>
      </c>
      <c r="C79" s="3" t="s">
        <v>123</v>
      </c>
      <c r="D79" s="21">
        <v>16</v>
      </c>
      <c r="E79" s="21">
        <v>100</v>
      </c>
      <c r="F79" s="2" t="s">
        <v>120</v>
      </c>
    </row>
    <row r="80" spans="1:6" x14ac:dyDescent="0.3">
      <c r="A80">
        <v>77</v>
      </c>
      <c r="C80" s="3" t="s">
        <v>123</v>
      </c>
      <c r="D80" s="21">
        <v>17</v>
      </c>
      <c r="E80" s="21">
        <v>100</v>
      </c>
      <c r="F80" s="2" t="s">
        <v>120</v>
      </c>
    </row>
    <row r="81" spans="1:6" x14ac:dyDescent="0.3">
      <c r="A81">
        <v>78</v>
      </c>
      <c r="C81" s="3" t="s">
        <v>123</v>
      </c>
      <c r="D81" s="21">
        <v>18</v>
      </c>
      <c r="E81" s="21">
        <v>100</v>
      </c>
      <c r="F81" s="2" t="s">
        <v>120</v>
      </c>
    </row>
    <row r="82" spans="1:6" x14ac:dyDescent="0.3">
      <c r="A82">
        <v>79</v>
      </c>
      <c r="C82" s="3" t="s">
        <v>123</v>
      </c>
      <c r="D82" s="21">
        <v>19</v>
      </c>
      <c r="E82" s="21">
        <v>100</v>
      </c>
      <c r="F82" s="2" t="s">
        <v>120</v>
      </c>
    </row>
    <row r="83" spans="1:6" x14ac:dyDescent="0.3">
      <c r="A83">
        <v>80</v>
      </c>
      <c r="C83" s="3" t="s">
        <v>123</v>
      </c>
      <c r="D83" s="21">
        <v>20</v>
      </c>
      <c r="E83" s="21">
        <v>100</v>
      </c>
      <c r="F83" s="2" t="s">
        <v>120</v>
      </c>
    </row>
    <row r="84" spans="1:6" x14ac:dyDescent="0.3">
      <c r="A84">
        <v>81</v>
      </c>
      <c r="B84" s="3">
        <v>1</v>
      </c>
      <c r="C84" s="3" t="s">
        <v>124</v>
      </c>
      <c r="D84" s="21">
        <v>1</v>
      </c>
      <c r="E84" s="21">
        <v>200</v>
      </c>
      <c r="F84" s="2" t="s">
        <v>118</v>
      </c>
    </row>
    <row r="85" spans="1:6" x14ac:dyDescent="0.3">
      <c r="A85">
        <v>82</v>
      </c>
      <c r="B85" s="3">
        <v>2</v>
      </c>
      <c r="C85" s="3" t="s">
        <v>124</v>
      </c>
      <c r="D85" s="21">
        <v>2</v>
      </c>
      <c r="E85" s="21">
        <v>200</v>
      </c>
      <c r="F85" s="2" t="s">
        <v>118</v>
      </c>
    </row>
    <row r="86" spans="1:6" x14ac:dyDescent="0.3">
      <c r="A86">
        <v>83</v>
      </c>
      <c r="B86" s="3">
        <v>3</v>
      </c>
      <c r="C86" s="3" t="s">
        <v>124</v>
      </c>
      <c r="D86" s="21">
        <v>3</v>
      </c>
      <c r="E86" s="21">
        <v>200</v>
      </c>
      <c r="F86" s="2" t="s">
        <v>118</v>
      </c>
    </row>
    <row r="87" spans="1:6" x14ac:dyDescent="0.3">
      <c r="A87">
        <v>84</v>
      </c>
      <c r="B87" s="3">
        <v>4</v>
      </c>
      <c r="C87" s="3" t="s">
        <v>124</v>
      </c>
      <c r="D87" s="21">
        <v>4</v>
      </c>
      <c r="E87" s="21">
        <v>200</v>
      </c>
      <c r="F87" s="2" t="s">
        <v>118</v>
      </c>
    </row>
    <row r="88" spans="1:6" x14ac:dyDescent="0.3">
      <c r="A88">
        <v>85</v>
      </c>
      <c r="B88" s="3">
        <v>5</v>
      </c>
      <c r="C88" s="3" t="s">
        <v>124</v>
      </c>
      <c r="D88" s="21">
        <v>5</v>
      </c>
      <c r="E88" s="21">
        <v>200</v>
      </c>
      <c r="F88" s="2" t="s">
        <v>118</v>
      </c>
    </row>
    <row r="89" spans="1:6" x14ac:dyDescent="0.3">
      <c r="A89">
        <v>86</v>
      </c>
      <c r="B89" s="3">
        <v>6</v>
      </c>
      <c r="C89" s="3" t="s">
        <v>124</v>
      </c>
      <c r="D89" s="21">
        <v>6</v>
      </c>
      <c r="E89" s="21">
        <v>200</v>
      </c>
      <c r="F89" s="2" t="s">
        <v>118</v>
      </c>
    </row>
    <row r="90" spans="1:6" x14ac:dyDescent="0.3">
      <c r="A90">
        <v>87</v>
      </c>
      <c r="B90" s="3">
        <v>7</v>
      </c>
      <c r="C90" s="3" t="s">
        <v>124</v>
      </c>
      <c r="D90" s="21">
        <v>7</v>
      </c>
      <c r="E90" s="21">
        <v>200</v>
      </c>
      <c r="F90" s="2" t="s">
        <v>118</v>
      </c>
    </row>
    <row r="91" spans="1:6" x14ac:dyDescent="0.3">
      <c r="A91">
        <v>88</v>
      </c>
      <c r="B91" s="3">
        <v>8</v>
      </c>
      <c r="C91" s="3" t="s">
        <v>124</v>
      </c>
      <c r="D91" s="21">
        <v>8</v>
      </c>
      <c r="E91" s="21">
        <v>200</v>
      </c>
      <c r="F91" s="2" t="s">
        <v>118</v>
      </c>
    </row>
    <row r="92" spans="1:6" x14ac:dyDescent="0.3">
      <c r="A92">
        <v>89</v>
      </c>
      <c r="B92" s="3">
        <v>9</v>
      </c>
      <c r="C92" s="3" t="s">
        <v>124</v>
      </c>
      <c r="D92" s="21">
        <v>9</v>
      </c>
      <c r="E92" s="21">
        <v>200</v>
      </c>
      <c r="F92" s="2" t="s">
        <v>118</v>
      </c>
    </row>
    <row r="93" spans="1:6" x14ac:dyDescent="0.3">
      <c r="A93">
        <v>90</v>
      </c>
      <c r="B93" s="3">
        <v>10</v>
      </c>
      <c r="C93" s="3" t="s">
        <v>124</v>
      </c>
      <c r="D93" s="21">
        <v>10</v>
      </c>
      <c r="E93" s="21">
        <v>200</v>
      </c>
      <c r="F93" s="2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3444-39EC-4C43-A652-EC984E15ECFF}">
  <dimension ref="A1:D9"/>
  <sheetViews>
    <sheetView workbookViewId="0">
      <selection activeCell="B3" sqref="B3:D9"/>
    </sheetView>
  </sheetViews>
  <sheetFormatPr defaultRowHeight="14.4" x14ac:dyDescent="0.3"/>
  <cols>
    <col min="1" max="1" width="9" bestFit="1" customWidth="1"/>
    <col min="2" max="3" width="12.21875" bestFit="1" customWidth="1"/>
    <col min="4" max="4" width="11.6640625" bestFit="1" customWidth="1"/>
    <col min="5" max="5" width="11.33203125" bestFit="1" customWidth="1"/>
  </cols>
  <sheetData>
    <row r="1" spans="1:4" x14ac:dyDescent="0.3">
      <c r="A1" t="s">
        <v>81</v>
      </c>
      <c r="B1" s="4" t="s">
        <v>113</v>
      </c>
    </row>
    <row r="3" spans="1:4" x14ac:dyDescent="0.3">
      <c r="A3" s="4" t="s">
        <v>62</v>
      </c>
      <c r="B3" s="16" t="s">
        <v>63</v>
      </c>
      <c r="C3" s="4" t="s">
        <v>66</v>
      </c>
      <c r="D3" s="4" t="s">
        <v>67</v>
      </c>
    </row>
    <row r="4" spans="1:4" x14ac:dyDescent="0.3">
      <c r="A4">
        <v>1</v>
      </c>
      <c r="B4" s="2" t="s">
        <v>118</v>
      </c>
      <c r="C4" s="3" t="s">
        <v>125</v>
      </c>
      <c r="D4" s="21">
        <v>100000</v>
      </c>
    </row>
    <row r="5" spans="1:4" x14ac:dyDescent="0.3">
      <c r="A5">
        <v>2</v>
      </c>
      <c r="B5" s="2" t="s">
        <v>118</v>
      </c>
      <c r="C5" s="3" t="s">
        <v>126</v>
      </c>
      <c r="D5" s="21">
        <v>100000</v>
      </c>
    </row>
    <row r="6" spans="1:4" x14ac:dyDescent="0.3">
      <c r="A6">
        <v>3</v>
      </c>
      <c r="B6" s="2" t="s">
        <v>119</v>
      </c>
      <c r="C6" s="3" t="s">
        <v>125</v>
      </c>
      <c r="D6" s="21">
        <v>100000</v>
      </c>
    </row>
    <row r="7" spans="1:4" x14ac:dyDescent="0.3">
      <c r="A7">
        <v>4</v>
      </c>
      <c r="B7" s="2" t="s">
        <v>119</v>
      </c>
      <c r="C7" s="3" t="s">
        <v>126</v>
      </c>
      <c r="D7" s="21">
        <v>50000</v>
      </c>
    </row>
    <row r="8" spans="1:4" x14ac:dyDescent="0.3">
      <c r="A8">
        <v>5</v>
      </c>
      <c r="B8" s="2" t="s">
        <v>120</v>
      </c>
      <c r="C8" s="3" t="s">
        <v>125</v>
      </c>
      <c r="D8" s="21">
        <v>50000</v>
      </c>
    </row>
    <row r="9" spans="1:4" x14ac:dyDescent="0.3">
      <c r="A9">
        <v>6</v>
      </c>
      <c r="B9" s="2" t="s">
        <v>120</v>
      </c>
      <c r="C9" s="3" t="s">
        <v>126</v>
      </c>
      <c r="D9" s="21">
        <v>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6C1F-7C19-420F-A208-4E9ACA3DEB9E}">
  <dimension ref="A1:F18"/>
  <sheetViews>
    <sheetView workbookViewId="0">
      <selection sqref="A1:F18"/>
    </sheetView>
  </sheetViews>
  <sheetFormatPr defaultRowHeight="14.4" x14ac:dyDescent="0.3"/>
  <cols>
    <col min="1" max="1" width="9.5546875" style="1" bestFit="1" customWidth="1"/>
    <col min="2" max="2" width="16.109375" style="1" bestFit="1" customWidth="1"/>
    <col min="3" max="3" width="11.44140625" style="1" bestFit="1" customWidth="1"/>
    <col min="4" max="4" width="11.5546875" style="1" bestFit="1" customWidth="1"/>
    <col min="5" max="5" width="11.6640625" style="1" bestFit="1" customWidth="1"/>
    <col min="6" max="6" width="25.21875" style="1" bestFit="1" customWidth="1"/>
    <col min="7" max="16384" width="8.88671875" style="1"/>
  </cols>
  <sheetData>
    <row r="1" spans="1:6" x14ac:dyDescent="0.3">
      <c r="A1" s="1" t="s">
        <v>81</v>
      </c>
      <c r="B1" s="16" t="s">
        <v>115</v>
      </c>
    </row>
    <row r="3" spans="1:6" x14ac:dyDescent="0.3">
      <c r="A3" s="16" t="s">
        <v>36</v>
      </c>
      <c r="B3" s="16" t="s">
        <v>37</v>
      </c>
      <c r="C3" s="16" t="s">
        <v>38</v>
      </c>
      <c r="D3" s="16" t="s">
        <v>39</v>
      </c>
      <c r="E3" s="16" t="s">
        <v>40</v>
      </c>
      <c r="F3" s="16" t="s">
        <v>41</v>
      </c>
    </row>
    <row r="4" spans="1:6" x14ac:dyDescent="0.3">
      <c r="A4" s="2">
        <v>1</v>
      </c>
      <c r="B4" s="22">
        <v>1</v>
      </c>
      <c r="C4" s="2" t="s">
        <v>127</v>
      </c>
      <c r="D4" s="23">
        <v>46027</v>
      </c>
      <c r="E4" s="22">
        <v>200000</v>
      </c>
      <c r="F4" s="2" t="s">
        <v>128</v>
      </c>
    </row>
    <row r="5" spans="1:6" x14ac:dyDescent="0.3">
      <c r="A5" s="2">
        <v>2</v>
      </c>
      <c r="B5" s="22">
        <v>2</v>
      </c>
      <c r="C5" s="2" t="s">
        <v>127</v>
      </c>
      <c r="D5" s="23">
        <v>46029</v>
      </c>
      <c r="E5" s="22">
        <v>150000</v>
      </c>
      <c r="F5" s="2" t="s">
        <v>128</v>
      </c>
    </row>
    <row r="6" spans="1:6" x14ac:dyDescent="0.3">
      <c r="A6" s="2">
        <v>3</v>
      </c>
      <c r="B6" s="22">
        <v>3</v>
      </c>
      <c r="C6" s="2" t="s">
        <v>129</v>
      </c>
      <c r="D6" s="23">
        <v>46037</v>
      </c>
      <c r="E6" s="22">
        <v>500000</v>
      </c>
      <c r="F6" s="2" t="s">
        <v>130</v>
      </c>
    </row>
    <row r="7" spans="1:6" x14ac:dyDescent="0.3">
      <c r="A7" s="2">
        <v>4</v>
      </c>
      <c r="B7" s="22">
        <v>4</v>
      </c>
      <c r="C7" s="2" t="s">
        <v>127</v>
      </c>
      <c r="D7" s="23">
        <v>46058</v>
      </c>
      <c r="E7" s="22">
        <v>200000</v>
      </c>
      <c r="F7" s="2" t="s">
        <v>131</v>
      </c>
    </row>
    <row r="8" spans="1:6" x14ac:dyDescent="0.3">
      <c r="A8" s="2">
        <v>5</v>
      </c>
      <c r="B8" s="22">
        <v>5</v>
      </c>
      <c r="C8" s="2" t="s">
        <v>127</v>
      </c>
      <c r="D8" s="23">
        <v>46061</v>
      </c>
      <c r="E8" s="22">
        <v>100000</v>
      </c>
      <c r="F8" s="2" t="s">
        <v>131</v>
      </c>
    </row>
    <row r="9" spans="1:6" x14ac:dyDescent="0.3">
      <c r="A9" s="2">
        <v>6</v>
      </c>
      <c r="B9" s="22">
        <v>1</v>
      </c>
      <c r="C9" s="2" t="s">
        <v>129</v>
      </c>
      <c r="D9" s="23">
        <v>46073</v>
      </c>
      <c r="E9" s="22">
        <v>1000000</v>
      </c>
      <c r="F9" s="2" t="s">
        <v>132</v>
      </c>
    </row>
    <row r="10" spans="1:6" x14ac:dyDescent="0.3">
      <c r="A10" s="2">
        <v>7</v>
      </c>
      <c r="B10" s="22">
        <v>6</v>
      </c>
      <c r="C10" s="2" t="s">
        <v>127</v>
      </c>
      <c r="D10" s="23">
        <v>46086</v>
      </c>
      <c r="E10" s="22">
        <v>200000</v>
      </c>
      <c r="F10" s="2" t="s">
        <v>133</v>
      </c>
    </row>
    <row r="11" spans="1:6" x14ac:dyDescent="0.3">
      <c r="A11" s="2">
        <v>8</v>
      </c>
      <c r="B11" s="22">
        <v>7</v>
      </c>
      <c r="C11" s="2" t="s">
        <v>127</v>
      </c>
      <c r="D11" s="23">
        <v>46091</v>
      </c>
      <c r="E11" s="22">
        <v>150000</v>
      </c>
      <c r="F11" s="2" t="s">
        <v>133</v>
      </c>
    </row>
    <row r="12" spans="1:6" x14ac:dyDescent="0.3">
      <c r="A12" s="2">
        <v>9</v>
      </c>
      <c r="B12" s="22">
        <v>8</v>
      </c>
      <c r="C12" s="2" t="s">
        <v>129</v>
      </c>
      <c r="D12" s="23">
        <v>46106</v>
      </c>
      <c r="E12" s="22">
        <v>300000</v>
      </c>
      <c r="F12" s="2" t="s">
        <v>134</v>
      </c>
    </row>
    <row r="13" spans="1:6" x14ac:dyDescent="0.3">
      <c r="A13" s="2">
        <v>10</v>
      </c>
      <c r="B13" s="22">
        <v>9</v>
      </c>
      <c r="C13" s="2" t="s">
        <v>127</v>
      </c>
      <c r="D13" s="23">
        <v>46117</v>
      </c>
      <c r="E13" s="22">
        <v>200000</v>
      </c>
      <c r="F13" s="2" t="s">
        <v>135</v>
      </c>
    </row>
    <row r="14" spans="1:6" x14ac:dyDescent="0.3">
      <c r="A14" s="2">
        <v>11</v>
      </c>
      <c r="B14" s="22">
        <v>10</v>
      </c>
      <c r="C14" s="2" t="s">
        <v>127</v>
      </c>
      <c r="D14" s="23">
        <v>46122</v>
      </c>
      <c r="E14" s="22">
        <v>150000</v>
      </c>
      <c r="F14" s="2" t="s">
        <v>135</v>
      </c>
    </row>
    <row r="15" spans="1:6" x14ac:dyDescent="0.3">
      <c r="A15" s="2">
        <v>12</v>
      </c>
      <c r="B15" s="22">
        <v>2</v>
      </c>
      <c r="C15" s="2" t="s">
        <v>129</v>
      </c>
      <c r="D15" s="23">
        <v>46132</v>
      </c>
      <c r="E15" s="22">
        <v>750000</v>
      </c>
      <c r="F15" s="2" t="s">
        <v>136</v>
      </c>
    </row>
    <row r="16" spans="1:6" x14ac:dyDescent="0.3">
      <c r="A16" s="2">
        <v>13</v>
      </c>
      <c r="B16" s="22">
        <v>3</v>
      </c>
      <c r="C16" s="2" t="s">
        <v>127</v>
      </c>
      <c r="D16" s="23">
        <v>46147</v>
      </c>
      <c r="E16" s="22">
        <v>200000</v>
      </c>
      <c r="F16" s="2" t="s">
        <v>137</v>
      </c>
    </row>
    <row r="17" spans="1:6" x14ac:dyDescent="0.3">
      <c r="A17" s="2">
        <v>14</v>
      </c>
      <c r="B17" s="22">
        <v>4</v>
      </c>
      <c r="C17" s="2" t="s">
        <v>127</v>
      </c>
      <c r="D17" s="23">
        <v>46154</v>
      </c>
      <c r="E17" s="22">
        <v>100000</v>
      </c>
      <c r="F17" s="2" t="s">
        <v>137</v>
      </c>
    </row>
    <row r="18" spans="1:6" x14ac:dyDescent="0.3">
      <c r="A18" s="2">
        <v>15</v>
      </c>
      <c r="B18" s="22">
        <v>5</v>
      </c>
      <c r="C18" s="2" t="s">
        <v>129</v>
      </c>
      <c r="D18" s="23">
        <v>46167</v>
      </c>
      <c r="E18" s="22">
        <v>500000</v>
      </c>
      <c r="F18" s="2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BCD23-3209-46A6-B64A-B38D66145858}">
  <dimension ref="A1:G23"/>
  <sheetViews>
    <sheetView workbookViewId="0">
      <selection sqref="A1:G23"/>
    </sheetView>
  </sheetViews>
  <sheetFormatPr defaultRowHeight="14.4" x14ac:dyDescent="0.3"/>
  <cols>
    <col min="1" max="1" width="10.5546875" bestFit="1" customWidth="1"/>
    <col min="2" max="2" width="17.33203125" bestFit="1" customWidth="1"/>
    <col min="3" max="3" width="13.44140625" bestFit="1" customWidth="1"/>
    <col min="4" max="4" width="16.6640625" bestFit="1" customWidth="1"/>
    <col min="5" max="5" width="14.88671875" bestFit="1" customWidth="1"/>
    <col min="6" max="6" width="12" bestFit="1" customWidth="1"/>
    <col min="7" max="7" width="11.33203125" bestFit="1" customWidth="1"/>
  </cols>
  <sheetData>
    <row r="1" spans="1:7" x14ac:dyDescent="0.3">
      <c r="A1" t="s">
        <v>81</v>
      </c>
      <c r="B1" s="4" t="s">
        <v>116</v>
      </c>
    </row>
    <row r="3" spans="1:7" x14ac:dyDescent="0.3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  <c r="F3" s="4" t="s">
        <v>54</v>
      </c>
      <c r="G3" s="4" t="s">
        <v>55</v>
      </c>
    </row>
    <row r="4" spans="1:7" x14ac:dyDescent="0.3">
      <c r="A4" s="3">
        <v>1</v>
      </c>
      <c r="B4" s="21">
        <v>1</v>
      </c>
      <c r="C4" s="21">
        <v>1</v>
      </c>
      <c r="D4" s="21">
        <v>1</v>
      </c>
      <c r="E4" s="21">
        <v>2026</v>
      </c>
      <c r="F4" s="3" t="s">
        <v>125</v>
      </c>
      <c r="G4" s="21">
        <v>100000</v>
      </c>
    </row>
    <row r="5" spans="1:7" x14ac:dyDescent="0.3">
      <c r="A5" s="3">
        <v>2</v>
      </c>
      <c r="B5" s="21">
        <v>1</v>
      </c>
      <c r="C5" s="21">
        <v>1</v>
      </c>
      <c r="D5" s="21">
        <v>1</v>
      </c>
      <c r="E5" s="21">
        <v>2026</v>
      </c>
      <c r="F5" s="3" t="s">
        <v>126</v>
      </c>
      <c r="G5" s="21">
        <v>100000</v>
      </c>
    </row>
    <row r="6" spans="1:7" x14ac:dyDescent="0.3">
      <c r="A6" s="3">
        <v>3</v>
      </c>
      <c r="B6" s="21">
        <v>2</v>
      </c>
      <c r="C6" s="21">
        <v>6</v>
      </c>
      <c r="D6" s="21">
        <v>1</v>
      </c>
      <c r="E6" s="21">
        <v>2026</v>
      </c>
      <c r="F6" s="3" t="s">
        <v>125</v>
      </c>
      <c r="G6" s="21">
        <v>100000</v>
      </c>
    </row>
    <row r="7" spans="1:7" x14ac:dyDescent="0.3">
      <c r="A7" s="3">
        <v>4</v>
      </c>
      <c r="B7" s="21">
        <v>2</v>
      </c>
      <c r="C7" s="21">
        <v>6</v>
      </c>
      <c r="D7" s="21">
        <v>1</v>
      </c>
      <c r="E7" s="21">
        <v>2026</v>
      </c>
      <c r="F7" s="3" t="s">
        <v>126</v>
      </c>
      <c r="G7" s="21">
        <v>50000</v>
      </c>
    </row>
    <row r="8" spans="1:7" x14ac:dyDescent="0.3">
      <c r="A8" s="3">
        <v>5</v>
      </c>
      <c r="B8" s="21">
        <v>4</v>
      </c>
      <c r="C8" s="21">
        <v>2</v>
      </c>
      <c r="D8" s="21">
        <v>2</v>
      </c>
      <c r="E8" s="21">
        <v>2026</v>
      </c>
      <c r="F8" s="3" t="s">
        <v>125</v>
      </c>
      <c r="G8" s="21">
        <v>100000</v>
      </c>
    </row>
    <row r="9" spans="1:7" x14ac:dyDescent="0.3">
      <c r="A9" s="3">
        <v>6</v>
      </c>
      <c r="B9" s="21">
        <v>4</v>
      </c>
      <c r="C9" s="21">
        <v>2</v>
      </c>
      <c r="D9" s="21">
        <v>2</v>
      </c>
      <c r="E9" s="21">
        <v>2026</v>
      </c>
      <c r="F9" s="3" t="s">
        <v>126</v>
      </c>
      <c r="G9" s="21">
        <v>100000</v>
      </c>
    </row>
    <row r="10" spans="1:7" x14ac:dyDescent="0.3">
      <c r="A10" s="3">
        <v>7</v>
      </c>
      <c r="B10" s="21">
        <v>5</v>
      </c>
      <c r="C10" s="21">
        <v>11</v>
      </c>
      <c r="D10" s="21">
        <v>2</v>
      </c>
      <c r="E10" s="21">
        <v>2026</v>
      </c>
      <c r="F10" s="3" t="s">
        <v>125</v>
      </c>
      <c r="G10" s="21">
        <v>50000</v>
      </c>
    </row>
    <row r="11" spans="1:7" x14ac:dyDescent="0.3">
      <c r="A11" s="3">
        <v>8</v>
      </c>
      <c r="B11" s="21">
        <v>5</v>
      </c>
      <c r="C11" s="21">
        <v>11</v>
      </c>
      <c r="D11" s="21">
        <v>2</v>
      </c>
      <c r="E11" s="21">
        <v>2026</v>
      </c>
      <c r="F11" s="3" t="s">
        <v>126</v>
      </c>
      <c r="G11" s="21">
        <v>50000</v>
      </c>
    </row>
    <row r="12" spans="1:7" x14ac:dyDescent="0.3">
      <c r="A12" s="3">
        <v>9</v>
      </c>
      <c r="B12" s="21">
        <v>7</v>
      </c>
      <c r="C12" s="21">
        <v>3</v>
      </c>
      <c r="D12" s="21">
        <v>3</v>
      </c>
      <c r="E12" s="21">
        <v>2026</v>
      </c>
      <c r="F12" s="3" t="s">
        <v>125</v>
      </c>
      <c r="G12" s="21">
        <v>100000</v>
      </c>
    </row>
    <row r="13" spans="1:7" x14ac:dyDescent="0.3">
      <c r="A13" s="3">
        <v>10</v>
      </c>
      <c r="B13" s="21">
        <v>7</v>
      </c>
      <c r="C13" s="21">
        <v>3</v>
      </c>
      <c r="D13" s="21">
        <v>3</v>
      </c>
      <c r="E13" s="21">
        <v>2026</v>
      </c>
      <c r="F13" s="3" t="s">
        <v>126</v>
      </c>
      <c r="G13" s="21">
        <v>100000</v>
      </c>
    </row>
    <row r="14" spans="1:7" x14ac:dyDescent="0.3">
      <c r="A14" s="3">
        <v>11</v>
      </c>
      <c r="B14" s="21">
        <v>8</v>
      </c>
      <c r="C14" s="21">
        <v>7</v>
      </c>
      <c r="D14" s="21">
        <v>3</v>
      </c>
      <c r="E14" s="21">
        <v>2026</v>
      </c>
      <c r="F14" s="3" t="s">
        <v>125</v>
      </c>
      <c r="G14" s="21">
        <v>100000</v>
      </c>
    </row>
    <row r="15" spans="1:7" x14ac:dyDescent="0.3">
      <c r="A15" s="3">
        <v>12</v>
      </c>
      <c r="B15" s="21">
        <v>8</v>
      </c>
      <c r="C15" s="21">
        <v>7</v>
      </c>
      <c r="D15" s="21">
        <v>3</v>
      </c>
      <c r="E15" s="21">
        <v>2026</v>
      </c>
      <c r="F15" s="3" t="s">
        <v>126</v>
      </c>
      <c r="G15" s="21">
        <v>50000</v>
      </c>
    </row>
    <row r="16" spans="1:7" x14ac:dyDescent="0.3">
      <c r="A16" s="3">
        <v>13</v>
      </c>
      <c r="B16" s="21">
        <v>10</v>
      </c>
      <c r="C16" s="21">
        <v>4</v>
      </c>
      <c r="D16" s="21">
        <v>4</v>
      </c>
      <c r="E16" s="21">
        <v>2026</v>
      </c>
      <c r="F16" s="3" t="s">
        <v>125</v>
      </c>
      <c r="G16" s="21">
        <v>100000</v>
      </c>
    </row>
    <row r="17" spans="1:7" x14ac:dyDescent="0.3">
      <c r="A17" s="3">
        <v>14</v>
      </c>
      <c r="B17" s="21">
        <v>10</v>
      </c>
      <c r="C17" s="21">
        <v>4</v>
      </c>
      <c r="D17" s="21">
        <v>4</v>
      </c>
      <c r="E17" s="21">
        <v>2026</v>
      </c>
      <c r="F17" s="3" t="s">
        <v>126</v>
      </c>
      <c r="G17" s="21">
        <v>100000</v>
      </c>
    </row>
    <row r="18" spans="1:7" x14ac:dyDescent="0.3">
      <c r="A18" s="3">
        <v>15</v>
      </c>
      <c r="B18" s="21">
        <v>11</v>
      </c>
      <c r="C18" s="21">
        <v>8</v>
      </c>
      <c r="D18" s="21">
        <v>4</v>
      </c>
      <c r="E18" s="21">
        <v>2026</v>
      </c>
      <c r="F18" s="3" t="s">
        <v>125</v>
      </c>
      <c r="G18" s="21">
        <v>100000</v>
      </c>
    </row>
    <row r="19" spans="1:7" x14ac:dyDescent="0.3">
      <c r="A19" s="3">
        <v>16</v>
      </c>
      <c r="B19" s="21">
        <v>11</v>
      </c>
      <c r="C19" s="21">
        <v>8</v>
      </c>
      <c r="D19" s="21">
        <v>4</v>
      </c>
      <c r="E19" s="21">
        <v>2026</v>
      </c>
      <c r="F19" s="3" t="s">
        <v>126</v>
      </c>
      <c r="G19" s="21">
        <v>50000</v>
      </c>
    </row>
    <row r="20" spans="1:7" x14ac:dyDescent="0.3">
      <c r="A20" s="3">
        <v>17</v>
      </c>
      <c r="B20" s="21">
        <v>13</v>
      </c>
      <c r="C20" s="21">
        <v>5</v>
      </c>
      <c r="D20" s="21">
        <v>5</v>
      </c>
      <c r="E20" s="21">
        <v>2026</v>
      </c>
      <c r="F20" s="3" t="s">
        <v>125</v>
      </c>
      <c r="G20" s="21">
        <v>100000</v>
      </c>
    </row>
    <row r="21" spans="1:7" x14ac:dyDescent="0.3">
      <c r="A21" s="3">
        <v>18</v>
      </c>
      <c r="B21" s="21">
        <v>13</v>
      </c>
      <c r="C21" s="21">
        <v>5</v>
      </c>
      <c r="D21" s="21">
        <v>5</v>
      </c>
      <c r="E21" s="21">
        <v>2026</v>
      </c>
      <c r="F21" s="3" t="s">
        <v>126</v>
      </c>
      <c r="G21" s="21">
        <v>100000</v>
      </c>
    </row>
    <row r="22" spans="1:7" x14ac:dyDescent="0.3">
      <c r="A22" s="3">
        <v>19</v>
      </c>
      <c r="B22" s="21">
        <v>14</v>
      </c>
      <c r="C22" s="21">
        <v>12</v>
      </c>
      <c r="D22" s="21">
        <v>5</v>
      </c>
      <c r="E22" s="21">
        <v>2026</v>
      </c>
      <c r="F22" s="3" t="s">
        <v>125</v>
      </c>
      <c r="G22" s="21">
        <v>50000</v>
      </c>
    </row>
    <row r="23" spans="1:7" x14ac:dyDescent="0.3">
      <c r="A23" s="3">
        <v>20</v>
      </c>
      <c r="B23" s="21">
        <v>14</v>
      </c>
      <c r="C23" s="21">
        <v>12</v>
      </c>
      <c r="D23" s="21">
        <v>5</v>
      </c>
      <c r="E23" s="21">
        <v>2026</v>
      </c>
      <c r="F23" s="3" t="s">
        <v>126</v>
      </c>
      <c r="G23" s="21">
        <v>50000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A413-2564-4E51-90A7-4FA647D35AC0}">
  <dimension ref="A1:E19"/>
  <sheetViews>
    <sheetView workbookViewId="0">
      <selection sqref="A1:E19"/>
    </sheetView>
  </sheetViews>
  <sheetFormatPr defaultRowHeight="14.4" x14ac:dyDescent="0.3"/>
  <cols>
    <col min="1" max="1" width="6.6640625" style="1" bestFit="1" customWidth="1"/>
    <col min="2" max="2" width="20.109375" style="1" bestFit="1" customWidth="1"/>
    <col min="3" max="3" width="12.5546875" style="1" bestFit="1" customWidth="1"/>
    <col min="4" max="4" width="12.6640625" style="1" bestFit="1" customWidth="1"/>
    <col min="5" max="5" width="28.88671875" style="1" bestFit="1" customWidth="1"/>
    <col min="6" max="16384" width="8.88671875" style="1"/>
  </cols>
  <sheetData>
    <row r="1" spans="1:5" x14ac:dyDescent="0.3">
      <c r="A1" s="1" t="s">
        <v>81</v>
      </c>
      <c r="B1" s="16" t="s">
        <v>114</v>
      </c>
    </row>
    <row r="3" spans="1:5" x14ac:dyDescent="0.3">
      <c r="A3" s="16" t="s">
        <v>72</v>
      </c>
      <c r="B3" s="16" t="s">
        <v>73</v>
      </c>
      <c r="C3" s="16" t="s">
        <v>74</v>
      </c>
      <c r="D3" s="16" t="s">
        <v>75</v>
      </c>
      <c r="E3" s="16" t="s">
        <v>76</v>
      </c>
    </row>
    <row r="4" spans="1:5" x14ac:dyDescent="0.3">
      <c r="A4" s="2">
        <v>1</v>
      </c>
      <c r="B4" s="2" t="s">
        <v>125</v>
      </c>
      <c r="C4" s="23">
        <v>46023</v>
      </c>
      <c r="D4" s="22">
        <v>2000000</v>
      </c>
      <c r="E4" s="2" t="s">
        <v>139</v>
      </c>
    </row>
    <row r="5" spans="1:5" x14ac:dyDescent="0.3">
      <c r="A5" s="2">
        <v>2</v>
      </c>
      <c r="B5" s="2" t="s">
        <v>126</v>
      </c>
      <c r="C5" s="23">
        <v>46023</v>
      </c>
      <c r="D5" s="22">
        <v>8000000</v>
      </c>
      <c r="E5" s="2" t="s">
        <v>140</v>
      </c>
    </row>
    <row r="6" spans="1:5" x14ac:dyDescent="0.3">
      <c r="A6" s="2">
        <v>3</v>
      </c>
      <c r="B6" s="2" t="s">
        <v>141</v>
      </c>
      <c r="C6" s="23">
        <v>46037</v>
      </c>
      <c r="D6" s="22">
        <v>1000000</v>
      </c>
      <c r="E6" s="2" t="s">
        <v>142</v>
      </c>
    </row>
    <row r="7" spans="1:5" x14ac:dyDescent="0.3">
      <c r="A7" s="2">
        <v>4</v>
      </c>
      <c r="B7" s="2" t="s">
        <v>143</v>
      </c>
      <c r="C7" s="23">
        <v>46047</v>
      </c>
      <c r="D7" s="22">
        <v>250000</v>
      </c>
      <c r="E7" s="2" t="s">
        <v>144</v>
      </c>
    </row>
    <row r="8" spans="1:5" x14ac:dyDescent="0.3">
      <c r="A8" s="2">
        <v>5</v>
      </c>
      <c r="B8" s="2" t="s">
        <v>125</v>
      </c>
      <c r="C8" s="23">
        <v>46054</v>
      </c>
      <c r="D8" s="22">
        <v>2000000</v>
      </c>
      <c r="E8" s="2" t="s">
        <v>145</v>
      </c>
    </row>
    <row r="9" spans="1:5" x14ac:dyDescent="0.3">
      <c r="A9" s="2">
        <v>6</v>
      </c>
      <c r="B9" s="2" t="s">
        <v>126</v>
      </c>
      <c r="C9" s="23">
        <v>46054</v>
      </c>
      <c r="D9" s="22">
        <v>8000000</v>
      </c>
      <c r="E9" s="2" t="s">
        <v>146</v>
      </c>
    </row>
    <row r="10" spans="1:5" x14ac:dyDescent="0.3">
      <c r="A10" s="2">
        <v>7</v>
      </c>
      <c r="B10" s="2" t="s">
        <v>125</v>
      </c>
      <c r="C10" s="23">
        <v>46082</v>
      </c>
      <c r="D10" s="22">
        <v>2000000</v>
      </c>
      <c r="E10" s="2" t="s">
        <v>147</v>
      </c>
    </row>
    <row r="11" spans="1:5" x14ac:dyDescent="0.3">
      <c r="A11" s="2">
        <v>8</v>
      </c>
      <c r="B11" s="2" t="s">
        <v>126</v>
      </c>
      <c r="C11" s="23">
        <v>46082</v>
      </c>
      <c r="D11" s="22">
        <v>8000000</v>
      </c>
      <c r="E11" s="2" t="s">
        <v>148</v>
      </c>
    </row>
    <row r="12" spans="1:5" x14ac:dyDescent="0.3">
      <c r="A12" s="2">
        <v>9</v>
      </c>
      <c r="B12" s="2" t="s">
        <v>149</v>
      </c>
      <c r="C12" s="23">
        <v>46099</v>
      </c>
      <c r="D12" s="22">
        <v>500000</v>
      </c>
      <c r="E12" s="2" t="s">
        <v>150</v>
      </c>
    </row>
    <row r="13" spans="1:5" x14ac:dyDescent="0.3">
      <c r="A13" s="2">
        <v>10</v>
      </c>
      <c r="B13" s="2" t="s">
        <v>151</v>
      </c>
      <c r="C13" s="23">
        <v>46109</v>
      </c>
      <c r="D13" s="22">
        <v>2000000</v>
      </c>
      <c r="E13" s="2" t="s">
        <v>152</v>
      </c>
    </row>
    <row r="14" spans="1:5" x14ac:dyDescent="0.3">
      <c r="A14" s="2">
        <v>11</v>
      </c>
      <c r="B14" s="2" t="s">
        <v>125</v>
      </c>
      <c r="C14" s="23">
        <v>46113</v>
      </c>
      <c r="D14" s="22">
        <v>2000000</v>
      </c>
      <c r="E14" s="2" t="s">
        <v>153</v>
      </c>
    </row>
    <row r="15" spans="1:5" x14ac:dyDescent="0.3">
      <c r="A15" s="2">
        <v>12</v>
      </c>
      <c r="B15" s="2" t="s">
        <v>126</v>
      </c>
      <c r="C15" s="23">
        <v>46113</v>
      </c>
      <c r="D15" s="22">
        <v>8000000</v>
      </c>
      <c r="E15" s="2" t="s">
        <v>154</v>
      </c>
    </row>
    <row r="16" spans="1:5" x14ac:dyDescent="0.3">
      <c r="A16" s="2">
        <v>13</v>
      </c>
      <c r="B16" s="2" t="s">
        <v>125</v>
      </c>
      <c r="C16" s="23">
        <v>46143</v>
      </c>
      <c r="D16" s="22">
        <v>2000000</v>
      </c>
      <c r="E16" s="2" t="s">
        <v>155</v>
      </c>
    </row>
    <row r="17" spans="1:5" x14ac:dyDescent="0.3">
      <c r="A17" s="2">
        <v>14</v>
      </c>
      <c r="B17" s="2" t="s">
        <v>126</v>
      </c>
      <c r="C17" s="23">
        <v>46143</v>
      </c>
      <c r="D17" s="22">
        <v>8000000</v>
      </c>
      <c r="E17" s="2" t="s">
        <v>156</v>
      </c>
    </row>
    <row r="18" spans="1:5" x14ac:dyDescent="0.3">
      <c r="A18" s="2">
        <v>15</v>
      </c>
      <c r="B18" s="2" t="s">
        <v>157</v>
      </c>
      <c r="C18" s="23">
        <v>46152</v>
      </c>
      <c r="D18" s="22">
        <v>5000000</v>
      </c>
      <c r="E18" s="2" t="s">
        <v>158</v>
      </c>
    </row>
    <row r="19" spans="1:5" x14ac:dyDescent="0.3">
      <c r="A19" s="2">
        <v>16</v>
      </c>
      <c r="B19" s="2" t="s">
        <v>141</v>
      </c>
      <c r="C19" s="23">
        <v>46162</v>
      </c>
      <c r="D19" s="22">
        <v>1000000</v>
      </c>
      <c r="E19" s="2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CBF6-EB88-4465-B76F-B27901D5EBE0}">
  <dimension ref="B2:H62"/>
  <sheetViews>
    <sheetView workbookViewId="0">
      <selection activeCell="F60" sqref="F60"/>
    </sheetView>
  </sheetViews>
  <sheetFormatPr defaultRowHeight="14.4" x14ac:dyDescent="0.3"/>
  <cols>
    <col min="2" max="2" width="21.5546875" customWidth="1"/>
    <col min="3" max="3" width="22.33203125" customWidth="1"/>
    <col min="4" max="4" width="25.109375" customWidth="1"/>
    <col min="5" max="5" width="23.6640625" customWidth="1"/>
    <col min="6" max="6" width="16.21875" customWidth="1"/>
    <col min="8" max="8" width="17.21875" customWidth="1"/>
  </cols>
  <sheetData>
    <row r="2" spans="2:5" x14ac:dyDescent="0.3">
      <c r="B2" s="4" t="s">
        <v>169</v>
      </c>
      <c r="C2" s="4" t="s">
        <v>160</v>
      </c>
    </row>
    <row r="3" spans="2:5" ht="15" thickBot="1" x14ac:dyDescent="0.35"/>
    <row r="4" spans="2:5" ht="15" thickBot="1" x14ac:dyDescent="0.35">
      <c r="B4" s="6" t="s">
        <v>161</v>
      </c>
      <c r="C4" s="6" t="s">
        <v>162</v>
      </c>
      <c r="D4" s="6" t="s">
        <v>163</v>
      </c>
    </row>
    <row r="5" spans="2:5" x14ac:dyDescent="0.3">
      <c r="B5" s="10" t="s">
        <v>164</v>
      </c>
      <c r="C5" s="10">
        <v>850000</v>
      </c>
      <c r="D5" s="10">
        <v>11250000</v>
      </c>
    </row>
    <row r="6" spans="2:5" x14ac:dyDescent="0.3">
      <c r="B6" s="13" t="s">
        <v>165</v>
      </c>
      <c r="C6" s="13">
        <v>1300000</v>
      </c>
      <c r="D6" s="13">
        <v>10000000</v>
      </c>
    </row>
    <row r="7" spans="2:5" x14ac:dyDescent="0.3">
      <c r="B7" s="13" t="s">
        <v>166</v>
      </c>
      <c r="C7" s="13">
        <v>650000</v>
      </c>
      <c r="D7" s="13">
        <v>12500000</v>
      </c>
    </row>
    <row r="8" spans="2:5" x14ac:dyDescent="0.3">
      <c r="B8" s="13" t="s">
        <v>167</v>
      </c>
      <c r="C8" s="13">
        <v>1100000</v>
      </c>
      <c r="D8" s="13">
        <v>10000000</v>
      </c>
    </row>
    <row r="9" spans="2:5" ht="15" thickBot="1" x14ac:dyDescent="0.35">
      <c r="B9" s="12" t="s">
        <v>168</v>
      </c>
      <c r="C9" s="12">
        <v>800000</v>
      </c>
      <c r="D9" s="12">
        <v>16000000</v>
      </c>
    </row>
    <row r="12" spans="2:5" ht="15" thickBot="1" x14ac:dyDescent="0.35">
      <c r="B12" t="s">
        <v>196</v>
      </c>
    </row>
    <row r="13" spans="2:5" ht="15" thickBot="1" x14ac:dyDescent="0.35">
      <c r="B13" s="28" t="s">
        <v>197</v>
      </c>
      <c r="C13" s="28" t="s">
        <v>2</v>
      </c>
      <c r="D13" s="28" t="s">
        <v>1</v>
      </c>
      <c r="E13" s="28" t="s">
        <v>198</v>
      </c>
    </row>
    <row r="14" spans="2:5" ht="28.8" x14ac:dyDescent="0.3">
      <c r="B14" s="29" t="s">
        <v>161</v>
      </c>
      <c r="C14" s="30" t="s">
        <v>194</v>
      </c>
      <c r="D14" s="30" t="s">
        <v>195</v>
      </c>
      <c r="E14" s="35" t="s">
        <v>201</v>
      </c>
    </row>
    <row r="15" spans="2:5" ht="28.8" x14ac:dyDescent="0.3">
      <c r="B15" s="31" t="s">
        <v>162</v>
      </c>
      <c r="C15" s="24" t="s">
        <v>40</v>
      </c>
      <c r="D15" s="24" t="s">
        <v>115</v>
      </c>
      <c r="E15" s="36" t="s">
        <v>199</v>
      </c>
    </row>
    <row r="16" spans="2:5" ht="29.4" thickBot="1" x14ac:dyDescent="0.35">
      <c r="B16" s="32" t="s">
        <v>163</v>
      </c>
      <c r="C16" s="33" t="s">
        <v>75</v>
      </c>
      <c r="D16" s="33" t="s">
        <v>114</v>
      </c>
      <c r="E16" s="37" t="s">
        <v>200</v>
      </c>
    </row>
    <row r="22" spans="2:8" x14ac:dyDescent="0.3">
      <c r="B22" s="4" t="s">
        <v>192</v>
      </c>
      <c r="C22" s="4" t="s">
        <v>193</v>
      </c>
    </row>
    <row r="23" spans="2:8" ht="15" thickBot="1" x14ac:dyDescent="0.35"/>
    <row r="24" spans="2:8" ht="15" thickBot="1" x14ac:dyDescent="0.35">
      <c r="B24" s="6" t="s">
        <v>161</v>
      </c>
      <c r="C24" s="6" t="s">
        <v>170</v>
      </c>
      <c r="D24" s="6" t="s">
        <v>171</v>
      </c>
      <c r="E24" s="6" t="s">
        <v>188</v>
      </c>
      <c r="F24" s="6" t="s">
        <v>189</v>
      </c>
      <c r="G24" s="6" t="s">
        <v>172</v>
      </c>
      <c r="H24" s="6" t="s">
        <v>173</v>
      </c>
    </row>
    <row r="25" spans="2:8" x14ac:dyDescent="0.3">
      <c r="B25" s="10" t="s">
        <v>164</v>
      </c>
      <c r="C25" s="10" t="s">
        <v>82</v>
      </c>
      <c r="D25" s="10" t="s">
        <v>174</v>
      </c>
      <c r="E25" s="10" t="s">
        <v>118</v>
      </c>
      <c r="F25" s="10" t="s">
        <v>126</v>
      </c>
      <c r="G25" s="10">
        <v>100000</v>
      </c>
      <c r="H25" s="10" t="s">
        <v>175</v>
      </c>
    </row>
    <row r="26" spans="2:8" x14ac:dyDescent="0.3">
      <c r="B26" s="13" t="s">
        <v>164</v>
      </c>
      <c r="C26" s="13" t="s">
        <v>82</v>
      </c>
      <c r="D26" s="13" t="s">
        <v>174</v>
      </c>
      <c r="E26" s="13" t="s">
        <v>118</v>
      </c>
      <c r="F26" s="13" t="s">
        <v>125</v>
      </c>
      <c r="G26" s="13">
        <v>100000</v>
      </c>
      <c r="H26" s="13" t="s">
        <v>175</v>
      </c>
    </row>
    <row r="27" spans="2:8" x14ac:dyDescent="0.3">
      <c r="B27" s="13" t="s">
        <v>164</v>
      </c>
      <c r="C27" s="13" t="s">
        <v>83</v>
      </c>
      <c r="D27" s="13" t="s">
        <v>176</v>
      </c>
      <c r="E27" s="13" t="s">
        <v>118</v>
      </c>
      <c r="F27" s="13" t="s">
        <v>126</v>
      </c>
      <c r="G27" s="13">
        <v>100000</v>
      </c>
      <c r="H27" s="13" t="s">
        <v>177</v>
      </c>
    </row>
    <row r="28" spans="2:8" x14ac:dyDescent="0.3">
      <c r="B28" s="13" t="s">
        <v>164</v>
      </c>
      <c r="C28" s="13" t="s">
        <v>83</v>
      </c>
      <c r="D28" s="13" t="s">
        <v>176</v>
      </c>
      <c r="E28" s="13" t="s">
        <v>118</v>
      </c>
      <c r="F28" s="13" t="s">
        <v>125</v>
      </c>
      <c r="G28" s="13">
        <v>100000</v>
      </c>
      <c r="H28" s="13" t="s">
        <v>177</v>
      </c>
    </row>
    <row r="29" spans="2:8" x14ac:dyDescent="0.3">
      <c r="B29" s="13" t="s">
        <v>164</v>
      </c>
      <c r="C29" s="13" t="s">
        <v>85</v>
      </c>
      <c r="D29" s="13" t="s">
        <v>178</v>
      </c>
      <c r="E29" s="13" t="s">
        <v>119</v>
      </c>
      <c r="F29" s="13" t="s">
        <v>126</v>
      </c>
      <c r="G29" s="13">
        <v>50000</v>
      </c>
      <c r="H29" s="13" t="s">
        <v>175</v>
      </c>
    </row>
    <row r="30" spans="2:8" x14ac:dyDescent="0.3">
      <c r="B30" s="13" t="s">
        <v>164</v>
      </c>
      <c r="C30" s="13" t="s">
        <v>85</v>
      </c>
      <c r="D30" s="13" t="s">
        <v>178</v>
      </c>
      <c r="E30" s="13" t="s">
        <v>119</v>
      </c>
      <c r="F30" s="13" t="s">
        <v>125</v>
      </c>
      <c r="G30" s="13">
        <v>100000</v>
      </c>
      <c r="H30" s="13" t="s">
        <v>175</v>
      </c>
    </row>
    <row r="31" spans="2:8" x14ac:dyDescent="0.3">
      <c r="B31" s="13" t="s">
        <v>165</v>
      </c>
      <c r="C31" s="13" t="s">
        <v>82</v>
      </c>
      <c r="D31" s="13" t="s">
        <v>179</v>
      </c>
      <c r="E31" s="13" t="s">
        <v>119</v>
      </c>
      <c r="F31" s="13" t="s">
        <v>125</v>
      </c>
      <c r="G31" s="13">
        <v>100000</v>
      </c>
      <c r="H31" s="13" t="s">
        <v>177</v>
      </c>
    </row>
    <row r="32" spans="2:8" x14ac:dyDescent="0.3">
      <c r="B32" s="13" t="s">
        <v>165</v>
      </c>
      <c r="C32" s="13" t="s">
        <v>83</v>
      </c>
      <c r="D32" s="13" t="s">
        <v>180</v>
      </c>
      <c r="E32" s="13" t="s">
        <v>119</v>
      </c>
      <c r="F32" s="13" t="s">
        <v>126</v>
      </c>
      <c r="G32" s="13">
        <v>50000</v>
      </c>
      <c r="H32" s="13" t="s">
        <v>177</v>
      </c>
    </row>
    <row r="33" spans="2:8" x14ac:dyDescent="0.3">
      <c r="B33" s="13" t="s">
        <v>165</v>
      </c>
      <c r="C33" s="13" t="s">
        <v>181</v>
      </c>
      <c r="D33" s="13" t="s">
        <v>182</v>
      </c>
      <c r="E33" s="13" t="s">
        <v>120</v>
      </c>
      <c r="F33" s="13" t="s">
        <v>126</v>
      </c>
      <c r="G33" s="13">
        <v>50000</v>
      </c>
      <c r="H33" s="13" t="s">
        <v>181</v>
      </c>
    </row>
    <row r="34" spans="2:8" ht="15" thickBot="1" x14ac:dyDescent="0.35">
      <c r="B34" s="12" t="s">
        <v>165</v>
      </c>
      <c r="C34" s="12" t="s">
        <v>181</v>
      </c>
      <c r="D34" s="12" t="s">
        <v>182</v>
      </c>
      <c r="E34" s="12" t="s">
        <v>120</v>
      </c>
      <c r="F34" s="12" t="s">
        <v>125</v>
      </c>
      <c r="G34" s="12">
        <v>50000</v>
      </c>
      <c r="H34" s="12" t="s">
        <v>181</v>
      </c>
    </row>
    <row r="37" spans="2:8" ht="15" thickBot="1" x14ac:dyDescent="0.35">
      <c r="B37" t="s">
        <v>196</v>
      </c>
    </row>
    <row r="38" spans="2:8" ht="15" thickBot="1" x14ac:dyDescent="0.35">
      <c r="B38" s="6" t="s">
        <v>197</v>
      </c>
      <c r="C38" s="6" t="s">
        <v>2</v>
      </c>
      <c r="D38" s="6" t="s">
        <v>1</v>
      </c>
      <c r="E38" s="6" t="s">
        <v>198</v>
      </c>
    </row>
    <row r="39" spans="2:8" ht="144" x14ac:dyDescent="0.3">
      <c r="B39" s="29" t="s">
        <v>161</v>
      </c>
      <c r="C39" s="30" t="s">
        <v>202</v>
      </c>
      <c r="D39" s="30" t="s">
        <v>116</v>
      </c>
      <c r="E39" s="35" t="s">
        <v>203</v>
      </c>
    </row>
    <row r="40" spans="2:8" x14ac:dyDescent="0.3">
      <c r="B40" s="31" t="s">
        <v>170</v>
      </c>
      <c r="C40" s="24" t="s">
        <v>14</v>
      </c>
      <c r="D40" s="24" t="s">
        <v>112</v>
      </c>
      <c r="E40" s="36" t="s">
        <v>204</v>
      </c>
    </row>
    <row r="41" spans="2:8" ht="28.8" x14ac:dyDescent="0.3">
      <c r="B41" s="31" t="s">
        <v>171</v>
      </c>
      <c r="C41" s="25" t="s">
        <v>205</v>
      </c>
      <c r="D41" s="24" t="s">
        <v>5</v>
      </c>
      <c r="E41" s="36" t="s">
        <v>206</v>
      </c>
    </row>
    <row r="42" spans="2:8" x14ac:dyDescent="0.3">
      <c r="B42" s="38" t="s">
        <v>188</v>
      </c>
      <c r="C42" s="5" t="s">
        <v>25</v>
      </c>
      <c r="D42" s="24" t="s">
        <v>5</v>
      </c>
      <c r="E42" s="7"/>
    </row>
    <row r="43" spans="2:8" x14ac:dyDescent="0.3">
      <c r="B43" s="38" t="s">
        <v>189</v>
      </c>
      <c r="C43" s="5" t="s">
        <v>66</v>
      </c>
      <c r="D43" s="5" t="s">
        <v>113</v>
      </c>
      <c r="E43" s="7" t="s">
        <v>207</v>
      </c>
    </row>
    <row r="44" spans="2:8" x14ac:dyDescent="0.3">
      <c r="B44" s="38" t="s">
        <v>172</v>
      </c>
      <c r="C44" s="5" t="s">
        <v>67</v>
      </c>
      <c r="D44" s="5" t="s">
        <v>113</v>
      </c>
      <c r="E44" s="7" t="s">
        <v>207</v>
      </c>
    </row>
    <row r="45" spans="2:8" ht="101.4" thickBot="1" x14ac:dyDescent="0.35">
      <c r="B45" s="39" t="s">
        <v>173</v>
      </c>
      <c r="C45" s="25" t="s">
        <v>209</v>
      </c>
      <c r="D45" s="25" t="s">
        <v>210</v>
      </c>
      <c r="E45" s="34" t="s">
        <v>208</v>
      </c>
    </row>
    <row r="51" spans="2:5" x14ac:dyDescent="0.3">
      <c r="B51" t="s">
        <v>190</v>
      </c>
      <c r="C51" t="s">
        <v>191</v>
      </c>
    </row>
    <row r="52" spans="2:5" ht="15" thickBot="1" x14ac:dyDescent="0.35"/>
    <row r="53" spans="2:5" ht="15" thickBot="1" x14ac:dyDescent="0.35">
      <c r="B53" s="6" t="s">
        <v>161</v>
      </c>
      <c r="C53" s="6" t="s">
        <v>183</v>
      </c>
      <c r="D53" s="6" t="s">
        <v>184</v>
      </c>
      <c r="E53" s="6" t="s">
        <v>185</v>
      </c>
    </row>
    <row r="54" spans="2:5" ht="58.2" thickBot="1" x14ac:dyDescent="0.35">
      <c r="B54" s="26" t="s">
        <v>186</v>
      </c>
      <c r="C54" s="26">
        <v>15000000</v>
      </c>
      <c r="D54" s="26">
        <v>10000000</v>
      </c>
      <c r="E54" s="27" t="s">
        <v>187</v>
      </c>
    </row>
    <row r="57" spans="2:5" ht="15" thickBot="1" x14ac:dyDescent="0.35">
      <c r="B57" t="s">
        <v>196</v>
      </c>
    </row>
    <row r="58" spans="2:5" ht="15" thickBot="1" x14ac:dyDescent="0.35">
      <c r="B58" s="28" t="s">
        <v>197</v>
      </c>
      <c r="C58" s="28" t="s">
        <v>2</v>
      </c>
      <c r="D58" s="28" t="s">
        <v>1</v>
      </c>
      <c r="E58" s="28" t="s">
        <v>198</v>
      </c>
    </row>
    <row r="59" spans="2:5" x14ac:dyDescent="0.3">
      <c r="B59" s="29" t="s">
        <v>161</v>
      </c>
      <c r="C59" s="30" t="s">
        <v>3</v>
      </c>
      <c r="D59" s="30" t="s">
        <v>3</v>
      </c>
      <c r="E59" s="42" t="s">
        <v>211</v>
      </c>
    </row>
    <row r="60" spans="2:5" ht="43.8" thickBot="1" x14ac:dyDescent="0.35">
      <c r="B60" s="31" t="s">
        <v>183</v>
      </c>
      <c r="C60" s="24" t="s">
        <v>67</v>
      </c>
      <c r="D60" s="24" t="s">
        <v>113</v>
      </c>
      <c r="E60" s="36" t="s">
        <v>212</v>
      </c>
    </row>
    <row r="61" spans="2:5" ht="29.4" thickBot="1" x14ac:dyDescent="0.35">
      <c r="B61" s="6" t="s">
        <v>184</v>
      </c>
      <c r="C61" s="40" t="s">
        <v>3</v>
      </c>
      <c r="D61" s="40" t="s">
        <v>3</v>
      </c>
      <c r="E61" s="41" t="s">
        <v>213</v>
      </c>
    </row>
    <row r="62" spans="2:5" ht="72.599999999999994" thickBot="1" x14ac:dyDescent="0.35">
      <c r="B62" s="32" t="s">
        <v>185</v>
      </c>
      <c r="C62" s="33" t="s">
        <v>3</v>
      </c>
      <c r="D62" s="33" t="s">
        <v>3</v>
      </c>
      <c r="E62" s="43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ERD_Table</vt:lpstr>
      <vt:lpstr>Dummy - data_owner</vt:lpstr>
      <vt:lpstr>Dummy - data_kavling</vt:lpstr>
      <vt:lpstr>Dummy - data_iuran</vt:lpstr>
      <vt:lpstr>Dummy - data_pembayaran</vt:lpstr>
      <vt:lpstr>Dummy - detail_pembayaran</vt:lpstr>
      <vt:lpstr>Dummy - data_pengeluaran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Rugun Christiany</dc:creator>
  <cp:lastModifiedBy>Anastasia Rugun Christiany</cp:lastModifiedBy>
  <dcterms:created xsi:type="dcterms:W3CDTF">2026-06-14T21:31:49Z</dcterms:created>
  <dcterms:modified xsi:type="dcterms:W3CDTF">2026-06-15T04:20:07Z</dcterms:modified>
</cp:coreProperties>
</file>